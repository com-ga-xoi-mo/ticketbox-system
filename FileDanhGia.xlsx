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0715" windowHeight="13155" tabRatio="600" firstSheet="0" activeTab="0" autoFilterDateGrouping="1"/>
  </bookViews>
  <sheets>
    <sheet name="09_DanhMuc" sheetId="1" state="visible" r:id="rId1"/>
    <sheet name="00_HuongDan" sheetId="2" state="visible" r:id="rId2"/>
    <sheet name="01_ThongTinNhom" sheetId="3" state="visible" r:id="rId3"/>
    <sheet name="02_ChecklistYeuCau" sheetId="4" state="visible" r:id="rId4"/>
    <sheet name="03_PhanCongTask" sheetId="5" state="visible" r:id="rId5"/>
    <sheet name="04_TuDanhGia" sheetId="6" state="visible" r:id="rId6"/>
    <sheet name="05_DanhGiaCheo" sheetId="7" state="visible" r:id="rId7"/>
    <sheet name="06_MinhChung_NopBai" sheetId="8" state="visible" r:id="rId8"/>
    <sheet name="07_ChuanBiVanDap" sheetId="9" state="visible" r:id="rId9"/>
    <sheet name="08_TongHopGV" sheetId="10" state="visible" r:id="rId10"/>
  </sheets>
  <definedNames/>
  <calcPr calcId="191029" fullCalcOnLoad="1"/>
</workbook>
</file>

<file path=xl/styles.xml><?xml version="1.0" encoding="utf-8"?>
<styleSheet xmlns="http://schemas.openxmlformats.org/spreadsheetml/2006/main">
  <numFmts count="4">
    <numFmt numFmtId="164" formatCode="dd/mm/yyyy"/>
    <numFmt numFmtId="165" formatCode="0&quot;%&quot;"/>
    <numFmt numFmtId="166" formatCode="0.0%"/>
    <numFmt numFmtId="167" formatCode="yyyy-mm-dd h:mm:ss"/>
  </numFmts>
  <fonts count="12">
    <font>
      <name val="Carlito"/>
      <sz val="11"/>
    </font>
    <font>
      <name val="Calibri"/>
      <b val="1"/>
      <color rgb="FFFFFFFF"/>
      <sz val="10"/>
    </font>
    <font>
      <name val="Calibri"/>
      <sz val="10"/>
    </font>
    <font>
      <name val="Calibri"/>
      <b val="1"/>
      <sz val="10"/>
    </font>
    <font>
      <name val="Calibri"/>
      <b val="1"/>
      <color rgb="FF1F4E78"/>
      <sz val="10"/>
    </font>
    <font>
      <name val="Calibri"/>
      <b val="1"/>
      <color rgb="FFFFFFFF"/>
      <sz val="9"/>
    </font>
    <font>
      <name val="Calibri"/>
      <b val="1"/>
      <color rgb="FF1F4E78"/>
      <sz val="12"/>
    </font>
    <font>
      <name val="Calibri"/>
      <i val="1"/>
      <color rgb="FF333333"/>
      <sz val="9"/>
    </font>
    <font>
      <name val="Calibri"/>
      <b val="1"/>
      <color rgb="FF1F4E78"/>
      <sz val="24"/>
    </font>
    <font>
      <name val="Calibri"/>
      <b val="1"/>
      <color rgb="FF375623"/>
      <sz val="24"/>
    </font>
    <font>
      <name val="Calibri"/>
      <b val="1"/>
      <color rgb="FF333333"/>
      <sz val="10"/>
    </font>
    <font>
      <name val="Calibri"/>
      <i val="1"/>
      <color rgb="FF333333"/>
      <sz val="10"/>
    </font>
  </fonts>
  <fills count="16">
    <fill>
      <patternFill/>
    </fill>
    <fill>
      <patternFill patternType="gray125"/>
    </fill>
    <fill>
      <patternFill patternType="solid">
        <fgColor rgb="FF1F4E78"/>
      </patternFill>
    </fill>
    <fill>
      <patternFill patternType="solid">
        <fgColor rgb="FF5B9BD5"/>
      </patternFill>
    </fill>
    <fill>
      <patternFill patternType="solid">
        <fgColor rgb="FFE2F0D9"/>
      </patternFill>
    </fill>
    <fill>
      <patternFill patternType="solid">
        <fgColor rgb="FFD9EAF7"/>
      </patternFill>
    </fill>
    <fill>
      <patternFill patternType="solid">
        <fgColor rgb="FFFFF2CC"/>
      </patternFill>
    </fill>
    <fill>
      <patternFill patternType="solid">
        <fgColor rgb="FFE7E6E6"/>
      </patternFill>
    </fill>
    <fill>
      <patternFill patternType="solid">
        <fgColor rgb="FFFCE4D6"/>
      </patternFill>
    </fill>
    <fill>
      <patternFill patternType="solid">
        <fgColor rgb="FF1F4E78"/>
      </patternFill>
    </fill>
    <fill>
      <patternFill patternType="solid">
        <fgColor rgb="FFD9EAF7"/>
      </patternFill>
    </fill>
    <fill>
      <patternFill patternType="solid">
        <fgColor rgb="FFE7E6E6"/>
      </patternFill>
    </fill>
    <fill>
      <patternFill patternType="solid">
        <fgColor rgb="FFE2F0D9"/>
      </patternFill>
    </fill>
    <fill>
      <patternFill patternType="solid">
        <fgColor rgb="FF5B9BD5"/>
      </patternFill>
    </fill>
    <fill>
      <patternFill patternType="solid">
        <fgColor rgb="FFFFFFFF"/>
      </patternFill>
    </fill>
    <fill>
      <patternFill patternType="solid">
        <fgColor rgb="FFFFF2CC"/>
      </patternFill>
    </fill>
  </fills>
  <borders count="3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37"/>
  </cellStyleXfs>
  <cellXfs count="140">
    <xf numFmtId="0" fontId="0" fillId="0" borderId="0" pivotButton="0" quotePrefix="0" xfId="0"/>
    <xf numFmtId="0" fontId="2" fillId="0" borderId="0" pivotButton="0" quotePrefix="0" xfId="0"/>
    <xf numFmtId="0" fontId="1" fillId="3" borderId="5" applyAlignment="1" pivotButton="0" quotePrefix="0" xfId="0">
      <alignment horizontal="center" vertical="center" wrapText="1"/>
    </xf>
    <xf numFmtId="0" fontId="1" fillId="3" borderId="6" applyAlignment="1" pivotButton="0" quotePrefix="0" xfId="0">
      <alignment horizontal="center" vertical="center" wrapText="1"/>
    </xf>
    <xf numFmtId="0" fontId="1" fillId="3" borderId="7" applyAlignment="1" pivotButton="0" quotePrefix="0" xfId="0">
      <alignment horizontal="center" vertical="center" wrapText="1"/>
    </xf>
    <xf numFmtId="0" fontId="2" fillId="0" borderId="8" applyAlignment="1" pivotButton="0" quotePrefix="0" xfId="0">
      <alignment horizontal="center" vertical="top" wrapText="1"/>
    </xf>
    <xf numFmtId="0" fontId="2" fillId="0" borderId="9" applyAlignment="1" pivotButton="0" quotePrefix="0" xfId="0">
      <alignment vertical="top" wrapText="1"/>
    </xf>
    <xf numFmtId="0" fontId="2" fillId="0" borderId="10" applyAlignment="1" pivotButton="0" quotePrefix="0" xfId="0">
      <alignment vertical="top" wrapText="1"/>
    </xf>
    <xf numFmtId="0" fontId="2" fillId="0" borderId="11" applyAlignment="1" pivotButton="0" quotePrefix="0" xfId="0">
      <alignment horizontal="center" vertical="top" wrapText="1"/>
    </xf>
    <xf numFmtId="0" fontId="2" fillId="0" borderId="0" applyAlignment="1" pivotButton="0" quotePrefix="0" xfId="0">
      <alignment vertical="top" wrapText="1"/>
    </xf>
    <xf numFmtId="0" fontId="2" fillId="0" borderId="12" applyAlignment="1" pivotButton="0" quotePrefix="0" xfId="0">
      <alignment vertical="top" wrapText="1"/>
    </xf>
    <xf numFmtId="0" fontId="2" fillId="0" borderId="13" applyAlignment="1" pivotButton="0" quotePrefix="0" xfId="0">
      <alignment horizontal="center" vertical="top" wrapText="1"/>
    </xf>
    <xf numFmtId="0" fontId="2" fillId="0" borderId="14" applyAlignment="1" pivotButton="0" quotePrefix="0" xfId="0">
      <alignment vertical="top" wrapText="1"/>
    </xf>
    <xf numFmtId="0" fontId="2" fillId="0" borderId="15" applyAlignment="1" pivotButton="0" quotePrefix="0" xfId="0">
      <alignment vertical="top" wrapText="1"/>
    </xf>
    <xf numFmtId="0" fontId="3" fillId="6" borderId="1" applyAlignment="1" pivotButton="0" quotePrefix="0" xfId="0">
      <alignment vertical="top" wrapText="1"/>
    </xf>
    <xf numFmtId="0" fontId="3" fillId="7" borderId="11" applyAlignment="1" pivotButton="0" quotePrefix="0" xfId="0">
      <alignment vertical="top" wrapText="1"/>
    </xf>
    <xf numFmtId="0" fontId="3" fillId="4" borderId="11" applyAlignment="1" pivotButton="0" quotePrefix="0" xfId="0">
      <alignment vertical="top" wrapText="1"/>
    </xf>
    <xf numFmtId="0" fontId="3" fillId="8" borderId="13" applyAlignment="1" pivotButton="0" quotePrefix="0" xfId="0">
      <alignment vertical="top" wrapText="1"/>
    </xf>
    <xf numFmtId="0" fontId="2" fillId="0" borderId="8" applyAlignment="1" pivotButton="0" quotePrefix="0" xfId="0">
      <alignment vertical="top" wrapText="1"/>
    </xf>
    <xf numFmtId="0" fontId="2" fillId="0" borderId="13" applyAlignment="1" pivotButton="0" quotePrefix="0" xfId="0">
      <alignment vertical="top" wrapText="1"/>
    </xf>
    <xf numFmtId="0" fontId="3" fillId="5" borderId="0" applyAlignment="1" pivotButton="0" quotePrefix="0" xfId="0">
      <alignment wrapText="1"/>
    </xf>
    <xf numFmtId="0" fontId="2" fillId="6" borderId="1" applyAlignment="1" pivotButton="0" quotePrefix="0" xfId="0">
      <alignment vertical="top" wrapText="1"/>
    </xf>
    <xf numFmtId="164" fontId="2" fillId="6" borderId="1" applyAlignment="1" pivotButton="0" quotePrefix="0" xfId="0">
      <alignment vertical="top" wrapText="1"/>
    </xf>
    <xf numFmtId="0" fontId="2" fillId="7" borderId="1" applyAlignment="1" pivotButton="0" quotePrefix="0" xfId="0">
      <alignment vertical="top" wrapText="1"/>
    </xf>
    <xf numFmtId="0" fontId="2" fillId="0" borderId="2" applyAlignment="1" pivotButton="0" quotePrefix="0" xfId="0">
      <alignment vertical="top" wrapText="1"/>
    </xf>
    <xf numFmtId="0" fontId="2" fillId="6" borderId="8" applyAlignment="1" pivotButton="0" quotePrefix="0" xfId="0">
      <alignment vertical="top" wrapText="1"/>
    </xf>
    <xf numFmtId="0" fontId="2" fillId="6" borderId="9" applyAlignment="1" pivotButton="0" quotePrefix="0" xfId="0">
      <alignment vertical="top" wrapText="1"/>
    </xf>
    <xf numFmtId="0" fontId="2" fillId="6" borderId="10" applyAlignment="1" pivotButton="0" quotePrefix="0" xfId="0">
      <alignment vertical="top" wrapText="1"/>
    </xf>
    <xf numFmtId="0" fontId="2" fillId="0" borderId="3" applyAlignment="1" pivotButton="0" quotePrefix="0" xfId="0">
      <alignment vertical="top" wrapText="1"/>
    </xf>
    <xf numFmtId="0" fontId="2" fillId="6" borderId="11" applyAlignment="1" pivotButton="0" quotePrefix="0" xfId="0">
      <alignment vertical="top" wrapText="1"/>
    </xf>
    <xf numFmtId="0" fontId="2" fillId="6" borderId="0" applyAlignment="1" pivotButton="0" quotePrefix="0" xfId="0">
      <alignment vertical="top" wrapText="1"/>
    </xf>
    <xf numFmtId="0" fontId="2" fillId="6" borderId="12" applyAlignment="1" pivotButton="0" quotePrefix="0" xfId="0">
      <alignment vertical="top" wrapText="1"/>
    </xf>
    <xf numFmtId="0" fontId="2" fillId="0" borderId="4" applyAlignment="1" pivotButton="0" quotePrefix="0" xfId="0">
      <alignment vertical="top" wrapText="1"/>
    </xf>
    <xf numFmtId="0" fontId="2" fillId="6" borderId="13" applyAlignment="1" pivotButton="0" quotePrefix="0" xfId="0">
      <alignment vertical="top" wrapText="1"/>
    </xf>
    <xf numFmtId="0" fontId="2" fillId="6" borderId="14" applyAlignment="1" pivotButton="0" quotePrefix="0" xfId="0">
      <alignment vertical="top" wrapText="1"/>
    </xf>
    <xf numFmtId="0" fontId="2" fillId="6" borderId="15" applyAlignment="1" pivotButton="0" quotePrefix="0" xfId="0">
      <alignment vertical="top" wrapText="1"/>
    </xf>
    <xf numFmtId="0" fontId="2" fillId="6" borderId="5" applyAlignment="1" pivotButton="0" quotePrefix="0" xfId="0">
      <alignment vertical="top" wrapText="1"/>
    </xf>
    <xf numFmtId="0" fontId="2" fillId="6" borderId="6" applyAlignment="1" pivotButton="0" quotePrefix="0" xfId="0">
      <alignment vertical="top" wrapText="1"/>
    </xf>
    <xf numFmtId="0" fontId="2" fillId="6" borderId="7" applyAlignment="1" pivotButton="0" quotePrefix="0" xfId="0">
      <alignment vertical="top" wrapText="1"/>
    </xf>
    <xf numFmtId="165" fontId="2" fillId="6" borderId="9" applyAlignment="1" pivotButton="0" quotePrefix="0" xfId="0">
      <alignment vertical="top" wrapText="1"/>
    </xf>
    <xf numFmtId="0" fontId="2" fillId="0" borderId="11" applyAlignment="1" pivotButton="0" quotePrefix="0" xfId="0">
      <alignment vertical="top" wrapText="1"/>
    </xf>
    <xf numFmtId="165" fontId="2" fillId="6" borderId="0" applyAlignment="1" pivotButton="0" quotePrefix="0" xfId="0">
      <alignment vertical="top" wrapText="1"/>
    </xf>
    <xf numFmtId="165" fontId="2" fillId="6" borderId="14" applyAlignment="1" pivotButton="0" quotePrefix="0" xfId="0">
      <alignment vertical="top" wrapText="1"/>
    </xf>
    <xf numFmtId="2" fontId="2" fillId="7" borderId="2" applyAlignment="1" pivotButton="0" quotePrefix="0" xfId="0">
      <alignment vertical="top" wrapText="1"/>
    </xf>
    <xf numFmtId="2" fontId="2" fillId="7" borderId="3" applyAlignment="1" pivotButton="0" quotePrefix="0" xfId="0">
      <alignment vertical="top" wrapText="1"/>
    </xf>
    <xf numFmtId="2" fontId="2" fillId="7" borderId="4" applyAlignment="1" pivotButton="0" quotePrefix="0" xfId="0">
      <alignment vertical="top" wrapText="1"/>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4" applyAlignment="1" pivotButton="0" quotePrefix="0" xfId="0">
      <alignment vertical="top" wrapText="1"/>
    </xf>
    <xf numFmtId="164" fontId="2" fillId="6" borderId="9" applyAlignment="1" pivotButton="0" quotePrefix="0" xfId="0">
      <alignment vertical="top" wrapText="1"/>
    </xf>
    <xf numFmtId="164" fontId="2" fillId="6" borderId="0" applyAlignment="1" pivotButton="0" quotePrefix="0" xfId="0">
      <alignment vertical="top" wrapText="1"/>
    </xf>
    <xf numFmtId="164" fontId="2" fillId="6" borderId="14" applyAlignment="1" pivotButton="0" quotePrefix="0" xfId="0">
      <alignment vertical="top" wrapText="1"/>
    </xf>
    <xf numFmtId="0" fontId="2" fillId="7" borderId="8" applyAlignment="1" pivotButton="0" quotePrefix="0" xfId="0">
      <alignment vertical="top" wrapText="1"/>
    </xf>
    <xf numFmtId="0" fontId="2" fillId="7" borderId="9" applyAlignment="1" pivotButton="0" quotePrefix="0" xfId="0">
      <alignment vertical="top" wrapText="1"/>
    </xf>
    <xf numFmtId="2" fontId="2" fillId="7" borderId="9" applyAlignment="1" pivotButton="0" quotePrefix="0" xfId="0">
      <alignment vertical="top" wrapText="1"/>
    </xf>
    <xf numFmtId="166" fontId="2" fillId="7" borderId="9" applyAlignment="1" pivotButton="0" quotePrefix="0" xfId="0">
      <alignment vertical="top" wrapText="1"/>
    </xf>
    <xf numFmtId="0" fontId="2" fillId="7" borderId="10" applyAlignment="1" pivotButton="0" quotePrefix="0" xfId="0">
      <alignment vertical="top" wrapText="1"/>
    </xf>
    <xf numFmtId="0" fontId="2" fillId="7" borderId="11" applyAlignment="1" pivotButton="0" quotePrefix="0" xfId="0">
      <alignment vertical="top" wrapText="1"/>
    </xf>
    <xf numFmtId="0" fontId="2" fillId="7" borderId="0" applyAlignment="1" pivotButton="0" quotePrefix="0" xfId="0">
      <alignment vertical="top" wrapText="1"/>
    </xf>
    <xf numFmtId="2" fontId="2" fillId="7" borderId="0" applyAlignment="1" pivotButton="0" quotePrefix="0" xfId="0">
      <alignment vertical="top" wrapText="1"/>
    </xf>
    <xf numFmtId="166" fontId="2" fillId="7" borderId="0" applyAlignment="1" pivotButton="0" quotePrefix="0" xfId="0">
      <alignment vertical="top" wrapText="1"/>
    </xf>
    <xf numFmtId="0" fontId="2" fillId="7" borderId="12" applyAlignment="1" pivotButton="0" quotePrefix="0" xfId="0">
      <alignment vertical="top" wrapText="1"/>
    </xf>
    <xf numFmtId="0" fontId="2" fillId="7" borderId="13" applyAlignment="1" pivotButton="0" quotePrefix="0" xfId="0">
      <alignment vertical="top" wrapText="1"/>
    </xf>
    <xf numFmtId="0" fontId="2" fillId="7" borderId="14" applyAlignment="1" pivotButton="0" quotePrefix="0" xfId="0">
      <alignment vertical="top" wrapText="1"/>
    </xf>
    <xf numFmtId="2" fontId="2" fillId="7" borderId="14" applyAlignment="1" pivotButton="0" quotePrefix="0" xfId="0">
      <alignment vertical="top" wrapText="1"/>
    </xf>
    <xf numFmtId="166" fontId="2" fillId="7" borderId="14" applyAlignment="1" pivotButton="0" quotePrefix="0" xfId="0">
      <alignment vertical="top" wrapText="1"/>
    </xf>
    <xf numFmtId="0" fontId="2" fillId="7" borderId="15" applyAlignment="1" pivotButton="0" quotePrefix="0" xfId="0">
      <alignment vertical="top" wrapText="1"/>
    </xf>
    <xf numFmtId="0" fontId="1" fillId="3" borderId="1" applyAlignment="1" pivotButton="0" quotePrefix="0" xfId="0">
      <alignment horizontal="center" vertical="center"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4" applyAlignment="1" pivotButton="0" quotePrefix="0" xfId="0">
      <alignment vertical="top" wrapText="1"/>
    </xf>
    <xf numFmtId="0" fontId="5" fillId="9" borderId="16" applyAlignment="1" pivotButton="0" quotePrefix="0" xfId="0">
      <alignment horizontal="center" vertical="center" wrapText="1"/>
    </xf>
    <xf numFmtId="166" fontId="6" fillId="10" borderId="16" applyAlignment="1" pivotButton="0" quotePrefix="0" xfId="0">
      <alignment horizontal="center" vertical="center"/>
    </xf>
    <xf numFmtId="0" fontId="7" fillId="11" borderId="16" applyAlignment="1" pivotButton="0" quotePrefix="0" xfId="0">
      <alignment horizontal="center" vertical="center" wrapText="1"/>
    </xf>
    <xf numFmtId="0" fontId="1" fillId="13" borderId="35" applyAlignment="1" pivotButton="0" quotePrefix="0" xfId="0">
      <alignment horizontal="center" vertical="center" wrapText="1"/>
    </xf>
    <xf numFmtId="0" fontId="1" fillId="13" borderId="36" applyAlignment="1" pivotButton="0" quotePrefix="0" xfId="0">
      <alignment horizontal="center" vertical="center" wrapText="1"/>
    </xf>
    <xf numFmtId="0" fontId="4" fillId="10" borderId="27" applyAlignment="1" pivotButton="0" quotePrefix="0" xfId="0">
      <alignment vertical="center" wrapText="1"/>
    </xf>
    <xf numFmtId="0" fontId="10" fillId="11" borderId="29" applyAlignment="1" pivotButton="0" quotePrefix="0" xfId="0">
      <alignment horizontal="center" vertical="center"/>
    </xf>
    <xf numFmtId="0" fontId="4" fillId="10" borderId="30" applyAlignment="1" pivotButton="0" quotePrefix="0" xfId="0">
      <alignment vertical="center" wrapText="1"/>
    </xf>
    <xf numFmtId="0" fontId="10" fillId="11" borderId="31" applyAlignment="1" pivotButton="0" quotePrefix="0" xfId="0">
      <alignment horizontal="center" vertical="center"/>
    </xf>
    <xf numFmtId="166" fontId="10" fillId="11" borderId="31" applyAlignment="1" pivotButton="0" quotePrefix="0" xfId="0">
      <alignment horizontal="center" vertical="center"/>
    </xf>
    <xf numFmtId="0" fontId="4" fillId="10" borderId="32" applyAlignment="1" pivotButton="0" quotePrefix="0" xfId="0">
      <alignment vertical="center" wrapText="1"/>
    </xf>
    <xf numFmtId="0" fontId="10" fillId="11" borderId="34" applyAlignment="1" pivotButton="0" quotePrefix="0" xfId="0">
      <alignment horizontal="center" vertical="center"/>
    </xf>
    <xf numFmtId="0" fontId="1" fillId="2" borderId="0" applyAlignment="1" pivotButton="0" quotePrefix="0" xfId="0">
      <alignment horizontal="center" vertical="center"/>
    </xf>
    <xf numFmtId="0" fontId="2" fillId="0" borderId="0" pivotButton="0" quotePrefix="0" xfId="0"/>
    <xf numFmtId="0" fontId="3" fillId="4" borderId="0" applyAlignment="1" pivotButton="0" quotePrefix="0" xfId="0">
      <alignment wrapText="1"/>
    </xf>
    <xf numFmtId="0" fontId="4" fillId="5" borderId="0" applyAlignment="1" pivotButton="0" quotePrefix="0" xfId="0">
      <alignment vertical="center"/>
    </xf>
    <xf numFmtId="0" fontId="3" fillId="8" borderId="0" applyAlignment="1" pivotButton="0" quotePrefix="0" xfId="0">
      <alignment wrapText="1"/>
    </xf>
    <xf numFmtId="0" fontId="2" fillId="6" borderId="1" applyAlignment="1" pivotButton="0" quotePrefix="0" xfId="0">
      <alignment vertical="top" wrapText="1"/>
    </xf>
    <xf numFmtId="0" fontId="3" fillId="6" borderId="6" applyAlignment="1" pivotButton="0" quotePrefix="0" xfId="0">
      <alignment vertical="top" wrapText="1"/>
    </xf>
    <xf numFmtId="0" fontId="6" fillId="10" borderId="0" applyAlignment="1" pivotButton="0" quotePrefix="0" xfId="0">
      <alignment horizontal="center" vertical="center"/>
    </xf>
    <xf numFmtId="0" fontId="1" fillId="9" borderId="17" applyAlignment="1" pivotButton="0" quotePrefix="0" xfId="0">
      <alignment horizontal="center" vertical="center" wrapText="1"/>
    </xf>
    <xf numFmtId="0" fontId="1" fillId="3" borderId="18" applyAlignment="1" pivotButton="0" quotePrefix="0" xfId="0">
      <alignment horizontal="center" vertical="center" wrapText="1"/>
    </xf>
    <xf numFmtId="0" fontId="1" fillId="3" borderId="19" applyAlignment="1" pivotButton="0" quotePrefix="0" xfId="0">
      <alignment horizontal="center" vertical="center" wrapText="1"/>
    </xf>
    <xf numFmtId="166" fontId="8" fillId="10" borderId="20" applyAlignment="1" pivotButton="0" quotePrefix="0" xfId="0">
      <alignment horizontal="center" vertical="center" wrapText="1"/>
    </xf>
    <xf numFmtId="166" fontId="8" fillId="10" borderId="2" applyAlignment="1" pivotButton="0" quotePrefix="0" xfId="0">
      <alignment horizontal="center" vertical="center" wrapText="1"/>
    </xf>
    <xf numFmtId="166" fontId="8" fillId="10" borderId="21" applyAlignment="1" pivotButton="0" quotePrefix="0" xfId="0">
      <alignment horizontal="center" vertical="center" wrapText="1"/>
    </xf>
    <xf numFmtId="166" fontId="8" fillId="10" borderId="22" applyAlignment="1" pivotButton="0" quotePrefix="0" xfId="0">
      <alignment horizontal="center" vertical="center" wrapText="1"/>
    </xf>
    <xf numFmtId="166" fontId="8" fillId="10" borderId="3" applyAlignment="1" pivotButton="0" quotePrefix="0" xfId="0">
      <alignment horizontal="center" vertical="center" wrapText="1"/>
    </xf>
    <xf numFmtId="166" fontId="8" fillId="10" borderId="23" applyAlignment="1" pivotButton="0" quotePrefix="0" xfId="0">
      <alignment horizontal="center" vertical="center" wrapText="1"/>
    </xf>
    <xf numFmtId="166" fontId="8" fillId="10" borderId="24" applyAlignment="1" pivotButton="0" quotePrefix="0" xfId="0">
      <alignment horizontal="center" vertical="center" wrapText="1"/>
    </xf>
    <xf numFmtId="166" fontId="8" fillId="10" borderId="25" applyAlignment="1" pivotButton="0" quotePrefix="0" xfId="0">
      <alignment horizontal="center" vertical="center" wrapText="1"/>
    </xf>
    <xf numFmtId="166" fontId="8" fillId="10" borderId="26" applyAlignment="1" pivotButton="0" quotePrefix="0" xfId="0">
      <alignment horizontal="center" vertical="center" wrapText="1"/>
    </xf>
    <xf numFmtId="0" fontId="1" fillId="9" borderId="27" applyAlignment="1" pivotButton="0" quotePrefix="0" xfId="0">
      <alignment horizontal="center" vertical="center" wrapText="1"/>
    </xf>
    <xf numFmtId="0" fontId="2" fillId="0" borderId="28" pivotButton="0" quotePrefix="0" xfId="0"/>
    <xf numFmtId="0" fontId="2" fillId="0" borderId="29" pivotButton="0" quotePrefix="0" xfId="0"/>
    <xf numFmtId="166" fontId="9" fillId="12" borderId="30" applyAlignment="1" pivotButton="0" quotePrefix="0" xfId="0">
      <alignment horizontal="center" vertical="center"/>
    </xf>
    <xf numFmtId="166" fontId="9" fillId="12" borderId="0" applyAlignment="1" pivotButton="0" quotePrefix="0" xfId="0">
      <alignment horizontal="center" vertical="center"/>
    </xf>
    <xf numFmtId="166" fontId="9" fillId="12" borderId="31" applyAlignment="1" pivotButton="0" quotePrefix="0" xfId="0">
      <alignment horizontal="center" vertical="center"/>
    </xf>
    <xf numFmtId="166" fontId="9" fillId="12" borderId="32" applyAlignment="1" pivotButton="0" quotePrefix="0" xfId="0">
      <alignment horizontal="center" vertical="center"/>
    </xf>
    <xf numFmtId="166" fontId="9" fillId="12" borderId="33" applyAlignment="1" pivotButton="0" quotePrefix="0" xfId="0">
      <alignment horizontal="center" vertical="center"/>
    </xf>
    <xf numFmtId="166" fontId="9" fillId="12" borderId="34" applyAlignment="1" pivotButton="0" quotePrefix="0" xfId="0">
      <alignment horizontal="center" vertical="center"/>
    </xf>
    <xf numFmtId="0" fontId="1" fillId="13" borderId="36" applyAlignment="1" pivotButton="0" quotePrefix="0" xfId="0">
      <alignment horizontal="center" vertical="center" wrapText="1"/>
    </xf>
    <xf numFmtId="0" fontId="1" fillId="13" borderId="37" applyAlignment="1" pivotButton="0" quotePrefix="0" xfId="0">
      <alignment horizontal="center" vertical="center" wrapText="1"/>
    </xf>
    <xf numFmtId="0" fontId="2" fillId="14" borderId="27" applyAlignment="1" pivotButton="0" quotePrefix="0" xfId="0">
      <alignment vertical="center" wrapText="1"/>
    </xf>
    <xf numFmtId="0" fontId="2" fillId="14" borderId="28" applyAlignment="1" pivotButton="0" quotePrefix="0" xfId="0">
      <alignment vertical="center" wrapText="1"/>
    </xf>
    <xf numFmtId="0" fontId="2" fillId="14" borderId="29" applyAlignment="1" pivotButton="0" quotePrefix="0" xfId="0">
      <alignment vertical="center" wrapText="1"/>
    </xf>
    <xf numFmtId="0" fontId="2" fillId="14" borderId="30" applyAlignment="1" pivotButton="0" quotePrefix="0" xfId="0">
      <alignment vertical="center" wrapText="1"/>
    </xf>
    <xf numFmtId="0" fontId="2" fillId="14" borderId="0" applyAlignment="1" pivotButton="0" quotePrefix="0" xfId="0">
      <alignment vertical="center" wrapText="1"/>
    </xf>
    <xf numFmtId="0" fontId="2" fillId="14" borderId="31" applyAlignment="1" pivotButton="0" quotePrefix="0" xfId="0">
      <alignment vertical="center" wrapText="1"/>
    </xf>
    <xf numFmtId="0" fontId="2" fillId="14" borderId="32" applyAlignment="1" pivotButton="0" quotePrefix="0" xfId="0">
      <alignment vertical="center" wrapText="1"/>
    </xf>
    <xf numFmtId="0" fontId="2" fillId="14" borderId="33" applyAlignment="1" pivotButton="0" quotePrefix="0" xfId="0">
      <alignment vertical="center" wrapText="1"/>
    </xf>
    <xf numFmtId="0" fontId="2" fillId="14" borderId="34" applyAlignment="1" pivotButton="0" quotePrefix="0" xfId="0">
      <alignment vertical="center" wrapText="1"/>
    </xf>
    <xf numFmtId="0" fontId="11" fillId="15" borderId="27" applyAlignment="1" pivotButton="0" quotePrefix="0" xfId="0">
      <alignment vertical="center" wrapText="1"/>
    </xf>
    <xf numFmtId="0" fontId="2" fillId="0" borderId="32" pivotButton="0" quotePrefix="0" xfId="0"/>
    <xf numFmtId="0" fontId="2" fillId="0" borderId="33" pivotButton="0" quotePrefix="0" xfId="0"/>
    <xf numFmtId="0" fontId="2" fillId="0" borderId="34" pivotButton="0" quotePrefix="0" xfId="0"/>
    <xf numFmtId="0" fontId="1" fillId="2" borderId="37" applyAlignment="1" pivotButton="0" quotePrefix="0" xfId="0">
      <alignment horizontal="center" vertical="center"/>
    </xf>
    <xf numFmtId="0" fontId="3" fillId="4" borderId="37" applyAlignment="1" pivotButton="0" quotePrefix="0" xfId="0">
      <alignment wrapText="1"/>
    </xf>
    <xf numFmtId="0" fontId="4" fillId="5" borderId="37" applyAlignment="1" pivotButton="0" quotePrefix="0" xfId="0">
      <alignment vertical="center"/>
    </xf>
    <xf numFmtId="0" fontId="2" fillId="6" borderId="37" applyAlignment="1" pivotButton="0" quotePrefix="0" xfId="0">
      <alignment vertical="top" wrapText="1"/>
    </xf>
    <xf numFmtId="0" fontId="3" fillId="8" borderId="37" applyAlignment="1" pivotButton="0" quotePrefix="0" xfId="0">
      <alignment wrapText="1"/>
    </xf>
    <xf numFmtId="0" fontId="2" fillId="0" borderId="37" pivotButton="0" quotePrefix="0" xfId="0"/>
    <xf numFmtId="0" fontId="6" fillId="10" borderId="37" applyAlignment="1" pivotButton="0" quotePrefix="0" xfId="0">
      <alignment horizontal="center" vertical="center"/>
    </xf>
    <xf numFmtId="0" fontId="1" fillId="9" borderId="37" applyAlignment="1" pivotButton="0" quotePrefix="0" xfId="0">
      <alignment horizontal="center" vertical="center" wrapText="1"/>
    </xf>
    <xf numFmtId="166" fontId="8" fillId="10" borderId="37" applyAlignment="1" pivotButton="0" quotePrefix="0" xfId="0">
      <alignment horizontal="center" vertical="center" wrapText="1"/>
    </xf>
    <xf numFmtId="166" fontId="9" fillId="12" borderId="37" applyAlignment="1" pivotButton="0" quotePrefix="0" xfId="0">
      <alignment horizontal="center" vertical="center"/>
    </xf>
    <xf numFmtId="0" fontId="2" fillId="14" borderId="37" applyAlignment="1" pivotButton="0" quotePrefix="0" xfId="0">
      <alignment vertical="center" wrapText="1"/>
    </xf>
    <xf numFmtId="0" fontId="11" fillId="15" borderId="37" applyAlignment="1" pivotButton="0" quotePrefix="0" xfId="0">
      <alignment vertical="center" wrapText="1"/>
    </xf>
    <xf numFmtId="167" fontId="2" fillId="6" borderId="1" applyAlignment="1" pivotButton="0" quotePrefix="0" xfId="0">
      <alignment vertical="top" wrapText="1"/>
    </xf>
  </cellXfs>
  <cellStyles count="1">
    <cellStyle name="Normal" xfId="0" builtinId="0"/>
  </cellStyles>
  <dxfs count="18">
    <dxf>
      <fill>
        <patternFill>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bgColor rgb="FFFCE4D6"/>
        </patternFill>
      </fill>
    </dxf>
    <dxf>
      <fill>
        <patternFill>
          <bgColor rgb="FFE2F0D9"/>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
      <fill>
        <patternFill patternType="solid">
          <bgColor rgb="FFE2F0D9"/>
        </patternFill>
      </fill>
    </dxf>
    <dxf>
      <fill>
        <patternFill patternType="solid">
          <bgColor rgb="FFFFF2CC"/>
        </patternFill>
      </fill>
    </dxf>
    <dxf>
      <fill>
        <patternFill patternType="solid">
          <bgColor rgb="FFFCE4D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r>
              <a:t>Điểm công việc theo thành viên</a:t>
            </a:r>
          </a:p>
        </rich>
      </tx>
      <overlay val="0"/>
    </title>
    <plotArea>
      <layout/>
      <barChart>
        <barDir val="col"/>
        <grouping val="clustered"/>
        <varyColors val="0"/>
        <ser>
          <idx val="0"/>
          <order val="0"/>
          <tx>
            <v>Điểm công việc</v>
          </tx>
          <spPr>
            <a:ln>
              <a:prstDash val="solid"/>
            </a:ln>
          </spPr>
          <invertIfNegative val="1"/>
          <cat>
            <multiLvlStrRef>
              <f>'08_TongHopGV'!$B$6:$B$9</f>
            </multiLvlStrRef>
          </cat>
          <val>
            <numRef>
              <f>'08_TongHopGV'!$F$6:$F$9</f>
              <numCache>
                <formatCode>0.00</formatCode>
                <ptCount val="4"/>
                <pt idx="0">
                  <v>0</v>
                </pt>
                <pt idx="1">
                  <v>0</v>
                </pt>
                <pt idx="2">
                  <v>0</v>
                </pt>
                <pt idx="3">
                  <v>0</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1"/>
        <majorTickMark val="none"/>
        <minorTickMark val="none"/>
        <tickLblPos val="nextTo"/>
        <crossAx val="48672768"/>
        <crosses val="autoZero"/>
        <auto val="1"/>
        <lblAlgn val="ctr"/>
        <lblOffset val="100"/>
        <noMultiLvlLbl val="0"/>
      </catAx>
      <valAx>
        <axId val="48672768"/>
        <scaling>
          <orientation val="minMax"/>
        </scaling>
        <delete val="0"/>
        <axPos val="l"/>
        <majorGridlines>
          <spPr>
            <a:ln w="9525">
              <a:solidFill>
                <a:srgbClr val="CCCCCC"/>
              </a:solidFill>
              <a:prstDash val="dash"/>
            </a:ln>
          </spPr>
        </majorGridlines>
        <numFmt formatCode="0.00" sourceLinked="1"/>
        <majorTickMark val="none"/>
        <minorTickMark val="none"/>
        <tickLblPos val="nextTo"/>
        <crossAx val="48650112"/>
        <crosses val="autoZero"/>
        <crossBetween val="between"/>
      </valAx>
    </plotArea>
    <plotVisOnly val="1"/>
    <dispBlanksAs val="zero"/>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11</row>
      <rowOff>0</rowOff>
    </from>
    <to>
      <col>13</col>
      <colOff>0</colOff>
      <row>28</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0.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Q200"/>
  <sheetViews>
    <sheetView tabSelected="1" workbookViewId="0">
      <selection activeCell="A1" sqref="A1:J1"/>
    </sheetView>
  </sheetViews>
  <sheetFormatPr baseColWidth="8" defaultRowHeight="13.5"/>
  <cols>
    <col width="24" customWidth="1" min="1" max="10"/>
  </cols>
  <sheetData>
    <row r="1" ht="15" customHeight="1">
      <c r="A1" s="127" t="inlineStr">
        <is>
          <t>DANH MỤC DÙNG CHO DROPDOWN — KHÔNG CẦN CHỈNH SỬA</t>
        </is>
      </c>
      <c r="K1" s="84" t="n"/>
      <c r="L1" s="84" t="n"/>
      <c r="M1" s="84" t="n"/>
      <c r="N1" s="84" t="n"/>
      <c r="O1" s="84" t="n"/>
      <c r="P1" s="84" t="n"/>
      <c r="Q1" s="84" t="n"/>
    </row>
    <row r="2" ht="13.9" customHeight="1">
      <c r="A2" s="67" t="inlineStr">
        <is>
          <t>Trạng thái</t>
        </is>
      </c>
      <c r="B2" s="67" t="inlineStr">
        <is>
          <t>Vai trò công việc</t>
        </is>
      </c>
      <c r="C2" s="67" t="inlineStr">
        <is>
          <t>Độ khó</t>
        </is>
      </c>
      <c r="D2" s="67" t="inlineStr">
        <is>
          <t>Điểm 1–5</t>
        </is>
      </c>
      <c r="E2" s="67" t="inlineStr">
        <is>
          <t>Có/Không</t>
        </is>
      </c>
      <c r="F2" s="67" t="inlineStr">
        <is>
          <t>Loại minh chứng</t>
        </is>
      </c>
      <c r="G2" s="67" t="inlineStr">
        <is>
          <t>Nhóm nội dung</t>
        </is>
      </c>
      <c r="H2" s="67" t="inlineStr">
        <is>
          <t>Mức độ yêu cầu</t>
        </is>
      </c>
      <c r="I2" s="67" t="inlineStr">
        <is>
          <t>Kết quả kiểm tra</t>
        </is>
      </c>
      <c r="J2" s="67" t="inlineStr">
        <is>
          <t>Loại thành viên</t>
        </is>
      </c>
      <c r="K2" s="84" t="n"/>
      <c r="L2" s="84" t="n"/>
      <c r="M2" s="84" t="n"/>
      <c r="N2" s="84" t="n"/>
      <c r="O2" s="84" t="n"/>
      <c r="P2" s="84" t="n"/>
      <c r="Q2" s="84" t="n"/>
    </row>
    <row r="3" ht="13.9" customHeight="1">
      <c r="A3" s="24" t="inlineStr">
        <is>
          <t>Chưa làm</t>
        </is>
      </c>
      <c r="B3" s="24" t="inlineStr">
        <is>
          <t>Chính</t>
        </is>
      </c>
      <c r="C3" s="24" t="n">
        <v>1</v>
      </c>
      <c r="D3" s="24" t="n">
        <v>1</v>
      </c>
      <c r="E3" s="24" t="inlineStr">
        <is>
          <t>Có</t>
        </is>
      </c>
      <c r="F3" s="24" t="inlineStr">
        <is>
          <t>Commit</t>
        </is>
      </c>
      <c r="G3" s="24" t="inlineStr">
        <is>
          <t>Blueprint</t>
        </is>
      </c>
      <c r="H3" s="24" t="inlineStr">
        <is>
          <t>Bắt buộc</t>
        </is>
      </c>
      <c r="I3" s="24" t="inlineStr">
        <is>
          <t>Đạt</t>
        </is>
      </c>
      <c r="J3" s="24" t="inlineStr">
        <is>
          <t>Khán giả</t>
        </is>
      </c>
      <c r="K3" s="84" t="n"/>
      <c r="L3" s="84" t="n"/>
      <c r="M3" s="84" t="n"/>
      <c r="N3" s="84" t="n"/>
      <c r="O3" s="84" t="n"/>
      <c r="P3" s="84" t="n"/>
      <c r="Q3" s="84" t="n"/>
    </row>
    <row r="4" ht="13.9" customHeight="1">
      <c r="A4" s="28" t="inlineStr">
        <is>
          <t>Đang làm</t>
        </is>
      </c>
      <c r="B4" s="28" t="inlineStr">
        <is>
          <t>Phối hợp</t>
        </is>
      </c>
      <c r="C4" s="28" t="n">
        <v>2</v>
      </c>
      <c r="D4" s="28" t="n">
        <v>2</v>
      </c>
      <c r="E4" s="32" t="inlineStr">
        <is>
          <t>Không</t>
        </is>
      </c>
      <c r="F4" s="28" t="inlineStr">
        <is>
          <t>Pull request</t>
        </is>
      </c>
      <c r="G4" s="28" t="inlineStr">
        <is>
          <t>Cài đặt</t>
        </is>
      </c>
      <c r="H4" s="28" t="inlineStr">
        <is>
          <t>Chọn ít nhất 2 luồng</t>
        </is>
      </c>
      <c r="I4" s="28" t="inlineStr">
        <is>
          <t>Chưa đạt</t>
        </is>
      </c>
      <c r="J4" s="28" t="inlineStr">
        <is>
          <t>Ban tổ chức</t>
        </is>
      </c>
      <c r="K4" s="84" t="n"/>
      <c r="L4" s="84" t="n"/>
      <c r="M4" s="84" t="n"/>
      <c r="N4" s="84" t="n"/>
      <c r="O4" s="84" t="n"/>
      <c r="P4" s="84" t="n"/>
      <c r="Q4" s="84" t="n"/>
    </row>
    <row r="5" ht="13.9" customHeight="1">
      <c r="A5" s="28" t="inlineStr">
        <is>
          <t>Hoàn thành</t>
        </is>
      </c>
      <c r="B5" s="32" t="inlineStr">
        <is>
          <t>Hỗ trợ</t>
        </is>
      </c>
      <c r="C5" s="28" t="n">
        <v>3</v>
      </c>
      <c r="D5" s="28" t="n">
        <v>3</v>
      </c>
      <c r="E5" s="84" t="n"/>
      <c r="F5" s="28" t="inlineStr">
        <is>
          <t>Source code</t>
        </is>
      </c>
      <c r="G5" s="28" t="inlineStr">
        <is>
          <t>Kiểm thử</t>
        </is>
      </c>
      <c r="H5" s="32" t="inlineStr">
        <is>
          <t>Khuyến nghị</t>
        </is>
      </c>
      <c r="I5" s="28" t="inlineStr">
        <is>
          <t>Chưa kiểm tra</t>
        </is>
      </c>
      <c r="J5" s="32" t="inlineStr">
        <is>
          <t>Nhân sự soát vé</t>
        </is>
      </c>
      <c r="K5" s="84" t="n"/>
      <c r="L5" s="84" t="n"/>
      <c r="M5" s="84" t="n"/>
      <c r="N5" s="84" t="n"/>
      <c r="O5" s="84" t="n"/>
      <c r="P5" s="84" t="n"/>
      <c r="Q5" s="84" t="n"/>
    </row>
    <row r="6" ht="13.9" customHeight="1">
      <c r="A6" s="32" t="inlineStr">
        <is>
          <t>Không áp dụng</t>
        </is>
      </c>
      <c r="B6" s="84" t="n"/>
      <c r="C6" s="28" t="n">
        <v>4</v>
      </c>
      <c r="D6" s="28" t="n">
        <v>4</v>
      </c>
      <c r="E6" s="84" t="n"/>
      <c r="F6" s="28" t="inlineStr">
        <is>
          <t>Sơ đồ</t>
        </is>
      </c>
      <c r="G6" s="28" t="inlineStr">
        <is>
          <t>Nộp bài</t>
        </is>
      </c>
      <c r="H6" s="84" t="n"/>
      <c r="I6" s="32" t="inlineStr">
        <is>
          <t>Không áp dụng</t>
        </is>
      </c>
      <c r="J6" s="84" t="n"/>
      <c r="K6" s="84" t="n"/>
      <c r="L6" s="84" t="n"/>
      <c r="M6" s="84" t="n"/>
      <c r="N6" s="84" t="n"/>
      <c r="O6" s="84" t="n"/>
      <c r="P6" s="84" t="n"/>
      <c r="Q6" s="84" t="n"/>
    </row>
    <row r="7" ht="13.9" customHeight="1">
      <c r="A7" s="84" t="n"/>
      <c r="B7" s="84" t="n"/>
      <c r="C7" s="32" t="n">
        <v>5</v>
      </c>
      <c r="D7" s="32" t="n">
        <v>5</v>
      </c>
      <c r="E7" s="84" t="n"/>
      <c r="F7" s="28" t="inlineStr">
        <is>
          <t>Tài liệu</t>
        </is>
      </c>
      <c r="G7" s="32" t="inlineStr">
        <is>
          <t>Vấn đáp</t>
        </is>
      </c>
      <c r="H7" s="84" t="n"/>
      <c r="I7" s="84" t="n"/>
      <c r="J7" s="84" t="n"/>
      <c r="K7" s="84" t="n"/>
      <c r="L7" s="84" t="n"/>
      <c r="M7" s="84" t="n"/>
      <c r="N7" s="84" t="n"/>
      <c r="O7" s="84" t="n"/>
      <c r="P7" s="84" t="n"/>
      <c r="Q7" s="84" t="n"/>
    </row>
    <row r="8" ht="13.9" customHeight="1">
      <c r="A8" s="84" t="n"/>
      <c r="B8" s="84" t="n"/>
      <c r="C8" s="84" t="n"/>
      <c r="D8" s="84" t="n"/>
      <c r="E8" s="84" t="n"/>
      <c r="F8" s="28" t="inlineStr">
        <is>
          <t>Test report</t>
        </is>
      </c>
      <c r="G8" s="84" t="n"/>
      <c r="H8" s="84" t="n"/>
      <c r="I8" s="84" t="n"/>
      <c r="J8" s="84" t="n"/>
      <c r="K8" s="84" t="n"/>
      <c r="L8" s="84" t="n"/>
      <c r="M8" s="84" t="n"/>
      <c r="N8" s="84" t="n"/>
      <c r="O8" s="84" t="n"/>
      <c r="P8" s="84" t="n"/>
      <c r="Q8" s="84" t="n"/>
    </row>
    <row r="9" ht="13.9" customHeight="1">
      <c r="A9" s="84" t="n"/>
      <c r="B9" s="84" t="n"/>
      <c r="C9" s="84" t="n"/>
      <c r="D9" s="84" t="n"/>
      <c r="E9" s="84" t="n"/>
      <c r="F9" s="28" t="inlineStr">
        <is>
          <t>Ảnh chụp</t>
        </is>
      </c>
      <c r="G9" s="84" t="n"/>
      <c r="H9" s="84" t="n"/>
      <c r="I9" s="84" t="n"/>
      <c r="J9" s="84" t="n"/>
      <c r="K9" s="84" t="n"/>
      <c r="L9" s="84" t="n"/>
      <c r="M9" s="84" t="n"/>
      <c r="N9" s="84" t="n"/>
      <c r="O9" s="84" t="n"/>
      <c r="P9" s="84" t="n"/>
      <c r="Q9" s="84" t="n"/>
    </row>
    <row r="10" ht="13.9" customHeight="1">
      <c r="A10" s="84" t="n"/>
      <c r="B10" s="84" t="n"/>
      <c r="C10" s="84" t="n"/>
      <c r="D10" s="84" t="n"/>
      <c r="E10" s="84" t="n"/>
      <c r="F10" s="28" t="inlineStr">
        <is>
          <t>Video demo</t>
        </is>
      </c>
      <c r="G10" s="84" t="n"/>
      <c r="H10" s="84" t="n"/>
      <c r="I10" s="84" t="n"/>
      <c r="J10" s="84" t="n"/>
      <c r="K10" s="84" t="n"/>
      <c r="L10" s="84" t="n"/>
      <c r="M10" s="84" t="n"/>
      <c r="N10" s="84" t="n"/>
      <c r="O10" s="84" t="n"/>
      <c r="P10" s="84" t="n"/>
      <c r="Q10" s="84" t="n"/>
    </row>
    <row r="11" ht="13.9" customHeight="1">
      <c r="A11" s="84" t="n"/>
      <c r="B11" s="84" t="n"/>
      <c r="C11" s="84" t="n"/>
      <c r="D11" s="84" t="n"/>
      <c r="E11" s="84" t="n"/>
      <c r="F11" s="28" t="inlineStr">
        <is>
          <t>Google Drive</t>
        </is>
      </c>
      <c r="G11" s="84" t="n"/>
      <c r="H11" s="84" t="n"/>
      <c r="I11" s="84" t="n"/>
      <c r="J11" s="84" t="n"/>
      <c r="K11" s="84" t="n"/>
      <c r="L11" s="84" t="n"/>
      <c r="M11" s="84" t="n"/>
      <c r="N11" s="84" t="n"/>
      <c r="O11" s="84" t="n"/>
      <c r="P11" s="84" t="n"/>
      <c r="Q11" s="84" t="n"/>
    </row>
    <row r="12" ht="13.9" customHeight="1">
      <c r="A12" s="84" t="n"/>
      <c r="B12" s="84" t="n"/>
      <c r="C12" s="84" t="n"/>
      <c r="D12" s="84" t="n"/>
      <c r="E12" s="84" t="n"/>
      <c r="F12" s="32" t="inlineStr">
        <is>
          <t>Khác</t>
        </is>
      </c>
      <c r="G12" s="84" t="n"/>
      <c r="H12" s="84" t="n"/>
      <c r="I12" s="84" t="n"/>
      <c r="J12" s="84" t="n"/>
      <c r="K12" s="84" t="n"/>
      <c r="L12" s="84" t="n"/>
      <c r="M12" s="84" t="n"/>
      <c r="N12" s="84" t="n"/>
      <c r="O12" s="84" t="n"/>
      <c r="P12" s="84" t="n"/>
      <c r="Q12" s="84" t="n"/>
    </row>
    <row r="13" ht="13.9" customHeight="1">
      <c r="A13" s="84" t="n"/>
      <c r="B13" s="84" t="n"/>
      <c r="C13" s="84" t="n"/>
      <c r="D13" s="84" t="n"/>
      <c r="E13" s="84" t="n"/>
      <c r="F13" s="84" t="n"/>
      <c r="G13" s="84" t="n"/>
      <c r="H13" s="84" t="n"/>
      <c r="I13" s="84" t="n"/>
      <c r="J13" s="84" t="n"/>
      <c r="K13" s="84" t="n"/>
      <c r="L13" s="84" t="n"/>
      <c r="M13" s="84" t="n"/>
      <c r="N13" s="84" t="n"/>
      <c r="O13" s="84" t="n"/>
      <c r="P13" s="84" t="n"/>
      <c r="Q13" s="84" t="n"/>
    </row>
    <row r="14" ht="13.9" customHeight="1">
      <c r="A14" s="84" t="n"/>
      <c r="B14" s="84" t="n"/>
      <c r="C14" s="84" t="n"/>
      <c r="D14" s="84" t="n"/>
      <c r="E14" s="84" t="n"/>
      <c r="F14" s="84" t="n"/>
      <c r="G14" s="84" t="n"/>
      <c r="H14" s="84" t="n"/>
      <c r="I14" s="84" t="n"/>
      <c r="J14" s="84" t="n"/>
      <c r="K14" s="84" t="n"/>
      <c r="L14" s="84" t="n"/>
      <c r="M14" s="84" t="n"/>
      <c r="N14" s="84" t="n"/>
      <c r="O14" s="84" t="n"/>
      <c r="P14" s="84" t="n"/>
      <c r="Q14" s="84" t="n"/>
    </row>
    <row r="15" ht="13.9" customHeight="1">
      <c r="A15" s="84" t="n"/>
      <c r="B15" s="84" t="n"/>
      <c r="C15" s="84" t="n"/>
      <c r="D15" s="84" t="n"/>
      <c r="E15" s="84" t="n"/>
      <c r="F15" s="84" t="n"/>
      <c r="G15" s="84" t="n"/>
      <c r="H15" s="84" t="n"/>
      <c r="I15" s="84" t="n"/>
      <c r="J15" s="84" t="n"/>
      <c r="K15" s="84" t="n"/>
      <c r="L15" s="84" t="n"/>
      <c r="M15" s="84" t="n"/>
      <c r="N15" s="84" t="n"/>
      <c r="O15" s="84" t="n"/>
      <c r="P15" s="84" t="n"/>
      <c r="Q15" s="84" t="n"/>
    </row>
    <row r="16" ht="13.9" customHeight="1">
      <c r="A16" s="84" t="n"/>
      <c r="B16" s="84" t="n"/>
      <c r="C16" s="84" t="n"/>
      <c r="D16" s="84" t="n"/>
      <c r="E16" s="84" t="n"/>
      <c r="F16" s="84" t="n"/>
      <c r="G16" s="84" t="n"/>
      <c r="H16" s="84" t="n"/>
      <c r="I16" s="84" t="n"/>
      <c r="J16" s="84" t="n"/>
      <c r="K16" s="84" t="n"/>
      <c r="L16" s="84" t="n"/>
      <c r="M16" s="84" t="n"/>
      <c r="N16" s="84" t="n"/>
      <c r="O16" s="84" t="n"/>
      <c r="P16" s="84" t="n"/>
      <c r="Q16" s="84" t="n"/>
    </row>
    <row r="17" ht="13.9" customHeight="1">
      <c r="A17" s="84" t="n"/>
      <c r="B17" s="84" t="n"/>
      <c r="C17" s="84" t="n"/>
      <c r="D17" s="84" t="n"/>
      <c r="E17" s="84" t="n"/>
      <c r="F17" s="84" t="n"/>
      <c r="G17" s="84" t="n"/>
      <c r="H17" s="84" t="n"/>
      <c r="I17" s="84" t="n"/>
      <c r="J17" s="84" t="n"/>
      <c r="K17" s="84" t="n"/>
      <c r="L17" s="84" t="n"/>
      <c r="M17" s="84" t="n"/>
      <c r="N17" s="84" t="n"/>
      <c r="O17" s="84" t="n"/>
      <c r="P17" s="84" t="n"/>
      <c r="Q17" s="84" t="n"/>
    </row>
    <row r="18" ht="13.9" customHeight="1">
      <c r="A18" s="84" t="n"/>
      <c r="B18" s="84" t="n"/>
      <c r="C18" s="84" t="n"/>
      <c r="D18" s="84" t="n"/>
      <c r="E18" s="84" t="n"/>
      <c r="F18" s="84" t="n"/>
      <c r="G18" s="84" t="n"/>
      <c r="H18" s="84" t="n"/>
      <c r="I18" s="84" t="n"/>
      <c r="J18" s="84" t="n"/>
      <c r="K18" s="84" t="n"/>
      <c r="L18" s="84" t="n"/>
      <c r="M18" s="84" t="n"/>
      <c r="N18" s="84" t="n"/>
      <c r="O18" s="84" t="n"/>
      <c r="P18" s="84" t="n"/>
      <c r="Q18" s="84" t="n"/>
    </row>
    <row r="19" ht="13.9" customHeight="1">
      <c r="A19" s="84" t="n"/>
      <c r="B19" s="84" t="n"/>
      <c r="C19" s="84" t="n"/>
      <c r="D19" s="84" t="n"/>
      <c r="E19" s="84" t="n"/>
      <c r="F19" s="84" t="n"/>
      <c r="G19" s="84" t="n"/>
      <c r="H19" s="84" t="n"/>
      <c r="I19" s="84" t="n"/>
      <c r="J19" s="84" t="n"/>
      <c r="K19" s="84" t="n"/>
      <c r="L19" s="84" t="n"/>
      <c r="M19" s="84" t="n"/>
      <c r="N19" s="84" t="n"/>
      <c r="O19" s="84" t="n"/>
      <c r="P19" s="84" t="n"/>
      <c r="Q19" s="84" t="n"/>
    </row>
    <row r="20" ht="13.9" customHeight="1">
      <c r="A20" s="84" t="n"/>
      <c r="B20" s="84" t="n"/>
      <c r="C20" s="84" t="n"/>
      <c r="D20" s="84" t="n"/>
      <c r="E20" s="84" t="n"/>
      <c r="F20" s="84" t="n"/>
      <c r="G20" s="84" t="n"/>
      <c r="H20" s="84" t="n"/>
      <c r="I20" s="84" t="n"/>
      <c r="J20" s="84" t="n"/>
      <c r="K20" s="84" t="n"/>
      <c r="L20" s="84" t="n"/>
      <c r="M20" s="84" t="n"/>
      <c r="N20" s="84" t="n"/>
      <c r="O20" s="84" t="n"/>
      <c r="P20" s="84" t="n"/>
      <c r="Q20" s="84" t="n"/>
    </row>
    <row r="21" ht="13.9" customHeight="1">
      <c r="A21" s="84" t="n"/>
      <c r="B21" s="84" t="n"/>
      <c r="C21" s="84" t="n"/>
      <c r="D21" s="84" t="n"/>
      <c r="E21" s="84" t="n"/>
      <c r="F21" s="84" t="n"/>
      <c r="G21" s="84" t="n"/>
      <c r="H21" s="84" t="n"/>
      <c r="I21" s="84" t="n"/>
      <c r="J21" s="84" t="n"/>
      <c r="K21" s="84" t="n"/>
      <c r="L21" s="84" t="n"/>
      <c r="M21" s="84" t="n"/>
      <c r="N21" s="84" t="n"/>
      <c r="O21" s="84" t="n"/>
      <c r="P21" s="84" t="n"/>
      <c r="Q21" s="84" t="n"/>
    </row>
    <row r="22" ht="13.9" customHeight="1">
      <c r="A22" s="84" t="n"/>
      <c r="B22" s="84" t="n"/>
      <c r="C22" s="84" t="n"/>
      <c r="D22" s="84" t="n"/>
      <c r="E22" s="84" t="n"/>
      <c r="F22" s="84" t="n"/>
      <c r="G22" s="84" t="n"/>
      <c r="H22" s="84" t="n"/>
      <c r="I22" s="84" t="n"/>
      <c r="J22" s="84" t="n"/>
      <c r="K22" s="84" t="n"/>
      <c r="L22" s="84" t="n"/>
      <c r="M22" s="84" t="n"/>
      <c r="N22" s="84" t="n"/>
      <c r="O22" s="84" t="n"/>
      <c r="P22" s="84" t="n"/>
      <c r="Q22" s="84" t="n"/>
    </row>
    <row r="23" ht="13.9" customHeight="1">
      <c r="A23" s="84" t="n"/>
      <c r="B23" s="84" t="n"/>
      <c r="C23" s="84" t="n"/>
      <c r="D23" s="84" t="n"/>
      <c r="E23" s="84" t="n"/>
      <c r="F23" s="84" t="n"/>
      <c r="G23" s="84" t="n"/>
      <c r="H23" s="84" t="n"/>
      <c r="I23" s="84" t="n"/>
      <c r="J23" s="84" t="n"/>
      <c r="K23" s="84" t="n"/>
      <c r="L23" s="84" t="n"/>
      <c r="M23" s="84" t="n"/>
      <c r="N23" s="84" t="n"/>
      <c r="O23" s="84" t="n"/>
      <c r="P23" s="84" t="n"/>
      <c r="Q23" s="84" t="n"/>
    </row>
    <row r="24" ht="13.9" customHeight="1">
      <c r="A24" s="84" t="n"/>
      <c r="B24" s="84" t="n"/>
      <c r="C24" s="84" t="n"/>
      <c r="D24" s="84" t="n"/>
      <c r="E24" s="84" t="n"/>
      <c r="F24" s="84" t="n"/>
      <c r="G24" s="84" t="n"/>
      <c r="H24" s="84" t="n"/>
      <c r="I24" s="84" t="n"/>
      <c r="J24" s="84" t="n"/>
      <c r="K24" s="84" t="n"/>
      <c r="L24" s="84" t="n"/>
      <c r="M24" s="84" t="n"/>
      <c r="N24" s="84" t="n"/>
      <c r="O24" s="84" t="n"/>
      <c r="P24" s="84" t="n"/>
      <c r="Q24" s="84" t="n"/>
    </row>
    <row r="25" ht="13.9" customHeight="1">
      <c r="A25" s="84" t="n"/>
      <c r="B25" s="84" t="n"/>
      <c r="C25" s="84" t="n"/>
      <c r="D25" s="84" t="n"/>
      <c r="E25" s="84" t="n"/>
      <c r="F25" s="84" t="n"/>
      <c r="G25" s="84" t="n"/>
      <c r="H25" s="84" t="n"/>
      <c r="I25" s="84" t="n"/>
      <c r="J25" s="84" t="n"/>
      <c r="K25" s="84" t="n"/>
      <c r="L25" s="84" t="n"/>
      <c r="M25" s="84" t="n"/>
      <c r="N25" s="84" t="n"/>
      <c r="O25" s="84" t="n"/>
      <c r="P25" s="84" t="n"/>
      <c r="Q25" s="84" t="n"/>
    </row>
    <row r="26" ht="13.9" customHeight="1">
      <c r="A26" s="84" t="n"/>
      <c r="B26" s="84" t="n"/>
      <c r="C26" s="84" t="n"/>
      <c r="D26" s="84" t="n"/>
      <c r="E26" s="84" t="n"/>
      <c r="F26" s="84" t="n"/>
      <c r="G26" s="84" t="n"/>
      <c r="H26" s="84" t="n"/>
      <c r="I26" s="84" t="n"/>
      <c r="J26" s="84" t="n"/>
      <c r="K26" s="84" t="n"/>
      <c r="L26" s="84" t="n"/>
      <c r="M26" s="84" t="n"/>
      <c r="N26" s="84" t="n"/>
      <c r="O26" s="84" t="n"/>
      <c r="P26" s="84" t="n"/>
      <c r="Q26" s="84" t="n"/>
    </row>
    <row r="27" ht="13.9" customHeight="1">
      <c r="A27" s="84" t="n"/>
      <c r="B27" s="84" t="n"/>
      <c r="C27" s="84" t="n"/>
      <c r="D27" s="84" t="n"/>
      <c r="E27" s="84" t="n"/>
      <c r="F27" s="84" t="n"/>
      <c r="G27" s="84" t="n"/>
      <c r="H27" s="84" t="n"/>
      <c r="I27" s="84" t="n"/>
      <c r="J27" s="84" t="n"/>
      <c r="K27" s="84" t="n"/>
      <c r="L27" s="84" t="n"/>
      <c r="M27" s="84" t="n"/>
      <c r="N27" s="84" t="n"/>
      <c r="O27" s="84" t="n"/>
      <c r="P27" s="84" t="n"/>
      <c r="Q27" s="84" t="n"/>
    </row>
    <row r="28" ht="13.9" customHeight="1">
      <c r="A28" s="84" t="n"/>
      <c r="B28" s="84" t="n"/>
      <c r="C28" s="84" t="n"/>
      <c r="D28" s="84" t="n"/>
      <c r="E28" s="84" t="n"/>
      <c r="F28" s="84" t="n"/>
      <c r="G28" s="84" t="n"/>
      <c r="H28" s="84" t="n"/>
      <c r="I28" s="84" t="n"/>
      <c r="J28" s="84" t="n"/>
      <c r="K28" s="84" t="n"/>
      <c r="L28" s="84" t="n"/>
      <c r="M28" s="84" t="n"/>
      <c r="N28" s="84" t="n"/>
      <c r="O28" s="84" t="n"/>
      <c r="P28" s="84" t="n"/>
      <c r="Q28" s="84" t="n"/>
    </row>
    <row r="29" ht="13.9" customHeight="1">
      <c r="A29" s="84" t="n"/>
      <c r="B29" s="84" t="n"/>
      <c r="C29" s="84" t="n"/>
      <c r="D29" s="84" t="n"/>
      <c r="E29" s="84" t="n"/>
      <c r="F29" s="84" t="n"/>
      <c r="G29" s="84" t="n"/>
      <c r="H29" s="84" t="n"/>
      <c r="I29" s="84" t="n"/>
      <c r="J29" s="84" t="n"/>
      <c r="K29" s="84" t="n"/>
      <c r="L29" s="84" t="n"/>
      <c r="M29" s="84" t="n"/>
      <c r="N29" s="84" t="n"/>
      <c r="O29" s="84" t="n"/>
      <c r="P29" s="84" t="n"/>
      <c r="Q29" s="84" t="n"/>
    </row>
    <row r="30" ht="13.9" customHeight="1">
      <c r="A30" s="84" t="n"/>
      <c r="B30" s="84" t="n"/>
      <c r="C30" s="84" t="n"/>
      <c r="D30" s="84" t="n"/>
      <c r="E30" s="84" t="n"/>
      <c r="F30" s="84" t="n"/>
      <c r="G30" s="84" t="n"/>
      <c r="H30" s="84" t="n"/>
      <c r="I30" s="84" t="n"/>
      <c r="J30" s="84" t="n"/>
      <c r="K30" s="84" t="n"/>
      <c r="L30" s="84" t="n"/>
      <c r="M30" s="84" t="n"/>
      <c r="N30" s="84" t="n"/>
      <c r="O30" s="84" t="n"/>
      <c r="P30" s="84" t="n"/>
      <c r="Q30" s="84" t="n"/>
    </row>
    <row r="31" ht="13.9" customHeight="1">
      <c r="A31" s="84" t="n"/>
      <c r="B31" s="84" t="n"/>
      <c r="C31" s="84" t="n"/>
      <c r="D31" s="84" t="n"/>
      <c r="E31" s="84" t="n"/>
      <c r="F31" s="84" t="n"/>
      <c r="G31" s="84" t="n"/>
      <c r="H31" s="84" t="n"/>
      <c r="I31" s="84" t="n"/>
      <c r="J31" s="84" t="n"/>
      <c r="K31" s="84" t="n"/>
      <c r="L31" s="84" t="n"/>
      <c r="M31" s="84" t="n"/>
      <c r="N31" s="84" t="n"/>
      <c r="O31" s="84" t="n"/>
      <c r="P31" s="84" t="n"/>
      <c r="Q31" s="84" t="n"/>
    </row>
    <row r="32" ht="13.9" customHeight="1">
      <c r="A32" s="84" t="n"/>
      <c r="B32" s="84" t="n"/>
      <c r="C32" s="84" t="n"/>
      <c r="D32" s="84" t="n"/>
      <c r="E32" s="84" t="n"/>
      <c r="F32" s="84" t="n"/>
      <c r="G32" s="84" t="n"/>
      <c r="H32" s="84" t="n"/>
      <c r="I32" s="84" t="n"/>
      <c r="J32" s="84" t="n"/>
      <c r="K32" s="84" t="n"/>
      <c r="L32" s="84" t="n"/>
      <c r="M32" s="84" t="n"/>
      <c r="N32" s="84" t="n"/>
      <c r="O32" s="84" t="n"/>
      <c r="P32" s="84" t="n"/>
      <c r="Q32" s="84" t="n"/>
    </row>
    <row r="33" ht="13.9" customHeight="1">
      <c r="A33" s="84" t="n"/>
      <c r="B33" s="84" t="n"/>
      <c r="C33" s="84" t="n"/>
      <c r="D33" s="84" t="n"/>
      <c r="E33" s="84" t="n"/>
      <c r="F33" s="84" t="n"/>
      <c r="G33" s="84" t="n"/>
      <c r="H33" s="84" t="n"/>
      <c r="I33" s="84" t="n"/>
      <c r="J33" s="84" t="n"/>
      <c r="K33" s="84" t="n"/>
      <c r="L33" s="84" t="n"/>
      <c r="M33" s="84" t="n"/>
      <c r="N33" s="84" t="n"/>
      <c r="O33" s="84" t="n"/>
      <c r="P33" s="84" t="n"/>
      <c r="Q33" s="84" t="n"/>
    </row>
    <row r="34" ht="13.9" customHeight="1">
      <c r="A34" s="84" t="n"/>
      <c r="B34" s="84" t="n"/>
      <c r="C34" s="84" t="n"/>
      <c r="D34" s="84" t="n"/>
      <c r="E34" s="84" t="n"/>
      <c r="F34" s="84" t="n"/>
      <c r="G34" s="84" t="n"/>
      <c r="H34" s="84" t="n"/>
      <c r="I34" s="84" t="n"/>
      <c r="J34" s="84" t="n"/>
      <c r="K34" s="84" t="n"/>
      <c r="L34" s="84" t="n"/>
      <c r="M34" s="84" t="n"/>
      <c r="N34" s="84" t="n"/>
      <c r="O34" s="84" t="n"/>
      <c r="P34" s="84" t="n"/>
      <c r="Q34" s="84" t="n"/>
    </row>
    <row r="35" ht="13.9" customHeight="1">
      <c r="A35" s="84" t="n"/>
      <c r="B35" s="84" t="n"/>
      <c r="C35" s="84" t="n"/>
      <c r="D35" s="84" t="n"/>
      <c r="E35" s="84" t="n"/>
      <c r="F35" s="84" t="n"/>
      <c r="G35" s="84" t="n"/>
      <c r="H35" s="84" t="n"/>
      <c r="I35" s="84" t="n"/>
      <c r="J35" s="84" t="n"/>
      <c r="K35" s="84" t="n"/>
      <c r="L35" s="84" t="n"/>
      <c r="M35" s="84" t="n"/>
      <c r="N35" s="84" t="n"/>
      <c r="O35" s="84" t="n"/>
      <c r="P35" s="84" t="n"/>
      <c r="Q35" s="84" t="n"/>
    </row>
    <row r="36" ht="13.9" customHeight="1">
      <c r="A36" s="84" t="n"/>
      <c r="B36" s="84" t="n"/>
      <c r="C36" s="84" t="n"/>
      <c r="D36" s="84" t="n"/>
      <c r="E36" s="84" t="n"/>
      <c r="F36" s="84" t="n"/>
      <c r="G36" s="84" t="n"/>
      <c r="H36" s="84" t="n"/>
      <c r="I36" s="84" t="n"/>
      <c r="J36" s="84" t="n"/>
      <c r="K36" s="84" t="n"/>
      <c r="L36" s="84" t="n"/>
      <c r="M36" s="84" t="n"/>
      <c r="N36" s="84" t="n"/>
      <c r="O36" s="84" t="n"/>
      <c r="P36" s="84" t="n"/>
      <c r="Q36" s="84" t="n"/>
    </row>
    <row r="37" ht="13.9" customHeight="1">
      <c r="A37" s="84" t="n"/>
      <c r="B37" s="84" t="n"/>
      <c r="C37" s="84" t="n"/>
      <c r="D37" s="84" t="n"/>
      <c r="E37" s="84" t="n"/>
      <c r="F37" s="84" t="n"/>
      <c r="G37" s="84" t="n"/>
      <c r="H37" s="84" t="n"/>
      <c r="I37" s="84" t="n"/>
      <c r="J37" s="84" t="n"/>
      <c r="K37" s="84" t="n"/>
      <c r="L37" s="84" t="n"/>
      <c r="M37" s="84" t="n"/>
      <c r="N37" s="84" t="n"/>
      <c r="O37" s="84" t="n"/>
      <c r="P37" s="84" t="n"/>
      <c r="Q37" s="84" t="n"/>
    </row>
    <row r="38" ht="13.9" customHeight="1">
      <c r="A38" s="84" t="n"/>
      <c r="B38" s="84" t="n"/>
      <c r="C38" s="84" t="n"/>
      <c r="D38" s="84" t="n"/>
      <c r="E38" s="84" t="n"/>
      <c r="F38" s="84" t="n"/>
      <c r="G38" s="84" t="n"/>
      <c r="H38" s="84" t="n"/>
      <c r="I38" s="84" t="n"/>
      <c r="J38" s="84" t="n"/>
      <c r="K38" s="84" t="n"/>
      <c r="L38" s="84" t="n"/>
      <c r="M38" s="84" t="n"/>
      <c r="N38" s="84" t="n"/>
      <c r="O38" s="84" t="n"/>
      <c r="P38" s="84" t="n"/>
      <c r="Q38" s="84" t="n"/>
    </row>
    <row r="39" ht="13.9" customHeight="1">
      <c r="A39" s="84" t="n"/>
      <c r="B39" s="84" t="n"/>
      <c r="C39" s="84" t="n"/>
      <c r="D39" s="84" t="n"/>
      <c r="E39" s="84" t="n"/>
      <c r="F39" s="84" t="n"/>
      <c r="G39" s="84" t="n"/>
      <c r="H39" s="84" t="n"/>
      <c r="I39" s="84" t="n"/>
      <c r="J39" s="84" t="n"/>
      <c r="K39" s="84" t="n"/>
      <c r="L39" s="84" t="n"/>
      <c r="M39" s="84" t="n"/>
      <c r="N39" s="84" t="n"/>
      <c r="O39" s="84" t="n"/>
      <c r="P39" s="84" t="n"/>
      <c r="Q39" s="84" t="n"/>
    </row>
    <row r="40" ht="13.9" customHeight="1">
      <c r="A40" s="84" t="n"/>
      <c r="B40" s="84" t="n"/>
      <c r="C40" s="84" t="n"/>
      <c r="D40" s="84" t="n"/>
      <c r="E40" s="84" t="n"/>
      <c r="F40" s="84" t="n"/>
      <c r="G40" s="84" t="n"/>
      <c r="H40" s="84" t="n"/>
      <c r="I40" s="84" t="n"/>
      <c r="J40" s="84" t="n"/>
      <c r="K40" s="84" t="n"/>
      <c r="L40" s="84" t="n"/>
      <c r="M40" s="84" t="n"/>
      <c r="N40" s="84" t="n"/>
      <c r="O40" s="84" t="n"/>
      <c r="P40" s="84" t="n"/>
      <c r="Q40" s="84" t="n"/>
    </row>
    <row r="41" ht="13.9" customHeight="1">
      <c r="A41" s="84" t="n"/>
      <c r="B41" s="84" t="n"/>
      <c r="C41" s="84" t="n"/>
      <c r="D41" s="84" t="n"/>
      <c r="E41" s="84" t="n"/>
      <c r="F41" s="84" t="n"/>
      <c r="G41" s="84" t="n"/>
      <c r="H41" s="84" t="n"/>
      <c r="I41" s="84" t="n"/>
      <c r="J41" s="84" t="n"/>
      <c r="K41" s="84" t="n"/>
      <c r="L41" s="84" t="n"/>
      <c r="M41" s="84" t="n"/>
      <c r="N41" s="84" t="n"/>
      <c r="O41" s="84" t="n"/>
      <c r="P41" s="84" t="n"/>
      <c r="Q41" s="84" t="n"/>
    </row>
    <row r="42" ht="13.9" customHeight="1">
      <c r="A42" s="84" t="n"/>
      <c r="B42" s="84" t="n"/>
      <c r="C42" s="84" t="n"/>
      <c r="D42" s="84" t="n"/>
      <c r="E42" s="84" t="n"/>
      <c r="F42" s="84" t="n"/>
      <c r="G42" s="84" t="n"/>
      <c r="H42" s="84" t="n"/>
      <c r="I42" s="84" t="n"/>
      <c r="J42" s="84" t="n"/>
      <c r="K42" s="84" t="n"/>
      <c r="L42" s="84" t="n"/>
      <c r="M42" s="84" t="n"/>
      <c r="N42" s="84" t="n"/>
      <c r="O42" s="84" t="n"/>
      <c r="P42" s="84" t="n"/>
      <c r="Q42" s="84" t="n"/>
    </row>
    <row r="43" ht="13.9" customHeight="1">
      <c r="A43" s="84" t="n"/>
      <c r="B43" s="84" t="n"/>
      <c r="C43" s="84" t="n"/>
      <c r="D43" s="84" t="n"/>
      <c r="E43" s="84" t="n"/>
      <c r="F43" s="84" t="n"/>
      <c r="G43" s="84" t="n"/>
      <c r="H43" s="84" t="n"/>
      <c r="I43" s="84" t="n"/>
      <c r="J43" s="84" t="n"/>
      <c r="K43" s="84" t="n"/>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1">
    <mergeCell ref="A1:J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13" customWidth="1" min="1" max="1"/>
    <col width="24" customWidth="1" min="2" max="2"/>
    <col width="62" customWidth="1" min="3" max="3"/>
    <col width="52" customWidth="1" min="4" max="4"/>
    <col width="12" customWidth="1" min="5" max="8"/>
  </cols>
  <sheetData>
    <row r="1" ht="15" customHeight="1">
      <c r="A1" s="127" t="inlineStr">
        <is>
          <t>HƯỚNG DẪN ĐIỀN FILE TỰ ĐÁNH GIÁ ĐỒ ÁN TICKETBOX</t>
        </is>
      </c>
      <c r="I1" s="84" t="n"/>
      <c r="J1" s="84" t="n"/>
      <c r="K1" s="84" t="n"/>
      <c r="L1" s="84" t="n"/>
      <c r="M1" s="84" t="n"/>
      <c r="N1" s="84" t="n"/>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21" customHeight="1">
      <c r="A3" s="128" t="inlineStr">
        <is>
          <t>Mục đích: Nhóm sinh viên tự khai báo đầy đủ phần việc, minh chứng và mức độ đóng góp. Giảng viên dùng file này để kiểm tra và vấn đáp; nội dung khai báo phải khớp với source code, Blueprint và video.</t>
        </is>
      </c>
      <c r="I3" s="84" t="n"/>
      <c r="J3" s="84" t="n"/>
      <c r="K3" s="84" t="n"/>
      <c r="L3" s="84" t="n"/>
      <c r="M3" s="84" t="n"/>
      <c r="N3" s="84" t="n"/>
      <c r="O3" s="84" t="n"/>
      <c r="P3" s="84" t="n"/>
      <c r="Q3" s="84" t="n"/>
    </row>
    <row r="4" ht="13.9" customHeight="1">
      <c r="A4" s="84" t="n"/>
      <c r="B4" s="84" t="n"/>
      <c r="C4" s="84" t="n"/>
      <c r="D4" s="84" t="n"/>
      <c r="E4" s="84" t="n"/>
      <c r="F4" s="84" t="n"/>
      <c r="G4" s="84" t="n"/>
      <c r="H4" s="84" t="n"/>
      <c r="I4" s="84" t="n"/>
      <c r="J4" s="84" t="n"/>
      <c r="K4" s="84" t="n"/>
      <c r="L4" s="84" t="n"/>
      <c r="M4" s="84" t="n"/>
      <c r="N4" s="84" t="n"/>
      <c r="O4" s="84" t="n"/>
      <c r="P4" s="84" t="n"/>
      <c r="Q4" s="84" t="n"/>
    </row>
    <row r="5" ht="13.9" customHeight="1">
      <c r="A5" s="2" t="inlineStr">
        <is>
          <t>Bước</t>
        </is>
      </c>
      <c r="B5" s="3" t="inlineStr">
        <is>
          <t>Sheet cần điền</t>
        </is>
      </c>
      <c r="C5" s="3" t="inlineStr">
        <is>
          <t>Sinh viên thực hiện</t>
        </is>
      </c>
      <c r="D5" s="4" t="inlineStr">
        <is>
          <t>Yêu cầu tối thiểu</t>
        </is>
      </c>
      <c r="E5" s="84" t="n"/>
      <c r="F5" s="84" t="n"/>
      <c r="G5" s="84" t="n"/>
      <c r="H5" s="84" t="n"/>
      <c r="I5" s="84" t="n"/>
      <c r="J5" s="84" t="n"/>
      <c r="K5" s="84" t="n"/>
      <c r="L5" s="84" t="n"/>
      <c r="M5" s="84" t="n"/>
      <c r="N5" s="84" t="n"/>
      <c r="O5" s="84" t="n"/>
      <c r="P5" s="84" t="n"/>
      <c r="Q5" s="84" t="n"/>
    </row>
    <row r="6" ht="13.9" customHeight="1">
      <c r="A6" s="5" t="n">
        <v>1</v>
      </c>
      <c r="B6" s="6" t="inlineStr">
        <is>
          <t>01_ThongTinNhom</t>
        </is>
      </c>
      <c r="C6" s="6" t="inlineStr">
        <is>
          <t>Điền thông tin nhóm, 1–4 thành viên và các link nộp bài.</t>
        </is>
      </c>
      <c r="D6" s="7" t="inlineStr">
        <is>
          <t>Link Google Drive phải public và mở được.</t>
        </is>
      </c>
      <c r="E6" s="84" t="n"/>
      <c r="F6" s="84" t="n"/>
      <c r="G6" s="84" t="n"/>
      <c r="H6" s="84" t="n"/>
      <c r="I6" s="84" t="n"/>
      <c r="J6" s="84" t="n"/>
      <c r="K6" s="84" t="n"/>
      <c r="L6" s="84" t="n"/>
      <c r="M6" s="84" t="n"/>
      <c r="N6" s="84" t="n"/>
      <c r="O6" s="84" t="n"/>
      <c r="P6" s="84" t="n"/>
      <c r="Q6" s="84" t="n"/>
    </row>
    <row r="7" ht="26.25" customHeight="1">
      <c r="A7" s="8" t="n">
        <v>2</v>
      </c>
      <c r="B7" s="9" t="inlineStr">
        <is>
          <t>02_ChecklistYeuCau</t>
        </is>
      </c>
      <c r="C7" s="9" t="inlineStr">
        <is>
          <t>Đối chiếu từng yêu cầu TicketBox; chọn owner, trạng thái, % hoàn thành và dán minh chứng.</t>
        </is>
      </c>
      <c r="D7" s="10" t="inlineStr">
        <is>
          <t>Không ghi “đã làm” nếu không có link/path minh chứng.</t>
        </is>
      </c>
      <c r="E7" s="84" t="n"/>
      <c r="F7" s="84" t="n"/>
      <c r="G7" s="84" t="n"/>
      <c r="H7" s="84" t="n"/>
      <c r="I7" s="84" t="n"/>
      <c r="J7" s="84" t="n"/>
      <c r="K7" s="84" t="n"/>
      <c r="L7" s="84" t="n"/>
      <c r="M7" s="84" t="n"/>
      <c r="N7" s="84" t="n"/>
      <c r="O7" s="84" t="n"/>
      <c r="P7" s="84" t="n"/>
      <c r="Q7" s="84" t="n"/>
    </row>
    <row r="8" ht="13.9" customHeight="1">
      <c r="A8" s="8" t="n">
        <v>3</v>
      </c>
      <c r="B8" s="9" t="inlineStr">
        <is>
          <t>03_PhanCongTask</t>
        </is>
      </c>
      <c r="C8" s="9" t="inlineStr">
        <is>
          <t>Tách công việc đủ nhỏ để phân biệt đóng góp cá nhân.</t>
        </is>
      </c>
      <c r="D8" s="10" t="inlineStr">
        <is>
          <t>Mỗi task phải có sản phẩm đầu ra và tiêu chí hoàn thành.</t>
        </is>
      </c>
      <c r="E8" s="84" t="n"/>
      <c r="F8" s="84" t="n"/>
      <c r="G8" s="84" t="n"/>
      <c r="H8" s="84" t="n"/>
      <c r="I8" s="84" t="n"/>
      <c r="J8" s="84" t="n"/>
      <c r="K8" s="84" t="n"/>
      <c r="L8" s="84" t="n"/>
      <c r="M8" s="84" t="n"/>
      <c r="N8" s="84" t="n"/>
      <c r="O8" s="84" t="n"/>
      <c r="P8" s="84" t="n"/>
      <c r="Q8" s="84" t="n"/>
    </row>
    <row r="9" ht="13.9" customHeight="1">
      <c r="A9" s="8" t="n">
        <v>4</v>
      </c>
      <c r="B9" s="9" t="inlineStr">
        <is>
          <t>04_TuDanhGia</t>
        </is>
      </c>
      <c r="C9" s="9" t="inlineStr">
        <is>
          <t>Mỗi thành viên tự chấm 1–5 và mô tả 3 đóng góp quan trọng nhất.</t>
        </is>
      </c>
      <c r="D9" s="10" t="inlineStr">
        <is>
          <t>Không tự chấm 5 nếu không thể giải thích khi vấn đáp.</t>
        </is>
      </c>
      <c r="E9" s="84" t="n"/>
      <c r="F9" s="84" t="n"/>
      <c r="G9" s="84" t="n"/>
      <c r="H9" s="84" t="n"/>
      <c r="I9" s="84" t="n"/>
      <c r="J9" s="84" t="n"/>
      <c r="K9" s="84" t="n"/>
      <c r="L9" s="84" t="n"/>
      <c r="M9" s="84" t="n"/>
      <c r="N9" s="84" t="n"/>
      <c r="O9" s="84" t="n"/>
      <c r="P9" s="84" t="n"/>
      <c r="Q9" s="84" t="n"/>
    </row>
    <row r="10" ht="13.9" customHeight="1">
      <c r="A10" s="8" t="n">
        <v>5</v>
      </c>
      <c r="B10" s="9" t="inlineStr">
        <is>
          <t>05_DanhGiaCheo</t>
        </is>
      </c>
      <c r="C10" s="9" t="inlineStr">
        <is>
          <t>Các thành viên đánh giá chéo, nêu lý do và ví dụ cụ thể.</t>
        </is>
      </c>
      <c r="D10" s="10" t="inlineStr">
        <is>
          <t>Nhóm 1 người để trống sheet này.</t>
        </is>
      </c>
      <c r="E10" s="84" t="n"/>
      <c r="F10" s="84" t="n"/>
      <c r="G10" s="84" t="n"/>
      <c r="H10" s="84" t="n"/>
      <c r="I10" s="84" t="n"/>
      <c r="J10" s="84" t="n"/>
      <c r="K10" s="84" t="n"/>
      <c r="L10" s="84" t="n"/>
      <c r="M10" s="84" t="n"/>
      <c r="N10" s="84" t="n"/>
      <c r="O10" s="84" t="n"/>
      <c r="P10" s="84" t="n"/>
      <c r="Q10" s="84" t="n"/>
    </row>
    <row r="11" ht="13.9" customHeight="1">
      <c r="A11" s="8" t="n">
        <v>6</v>
      </c>
      <c r="B11" s="9" t="inlineStr">
        <is>
          <t>06_MinhChung_NopBai</t>
        </is>
      </c>
      <c r="C11" s="9" t="inlineStr">
        <is>
          <t>Liệt kê commit/PR/tài liệu/sơ đồ/test/video và kiểm tra cấu trúc Google Drive.</t>
        </is>
      </c>
      <c r="D11" s="10" t="inlineStr">
        <is>
          <t>Mỗi minh chứng phải có người thực hiện và cách kiểm tra.</t>
        </is>
      </c>
      <c r="E11" s="84" t="n"/>
      <c r="F11" s="84" t="n"/>
      <c r="G11" s="84" t="n"/>
      <c r="H11" s="84" t="n"/>
      <c r="I11" s="84" t="n"/>
      <c r="J11" s="84" t="n"/>
      <c r="K11" s="84" t="n"/>
      <c r="L11" s="84" t="n"/>
      <c r="M11" s="84" t="n"/>
      <c r="N11" s="84" t="n"/>
      <c r="O11" s="84" t="n"/>
      <c r="P11" s="84" t="n"/>
      <c r="Q11" s="84" t="n"/>
    </row>
    <row r="12" ht="13.9" customHeight="1">
      <c r="A12" s="8" t="n">
        <v>7</v>
      </c>
      <c r="B12" s="9" t="inlineStr">
        <is>
          <t>07_ChuanBiVanDap</t>
        </is>
      </c>
      <c r="C12" s="9" t="inlineStr">
        <is>
          <t>Phân công thành viên chuẩn bị giải thích các quyết định kiến trúc và cơ chế kỹ thuật.</t>
        </is>
      </c>
      <c r="D12" s="10" t="inlineStr">
        <is>
          <t>Người phụ trách phải hiểu code, không chỉ đọc slide.</t>
        </is>
      </c>
      <c r="E12" s="84" t="n"/>
      <c r="F12" s="84" t="n"/>
      <c r="G12" s="84" t="n"/>
      <c r="H12" s="84" t="n"/>
      <c r="I12" s="84" t="n"/>
      <c r="J12" s="84" t="n"/>
      <c r="K12" s="84" t="n"/>
      <c r="L12" s="84" t="n"/>
      <c r="M12" s="84" t="n"/>
      <c r="N12" s="84" t="n"/>
      <c r="O12" s="84" t="n"/>
      <c r="P12" s="84" t="n"/>
      <c r="Q12" s="84" t="n"/>
    </row>
    <row r="13" ht="26.25" customHeight="1">
      <c r="A13" s="11" t="n">
        <v>8</v>
      </c>
      <c r="B13" s="12" t="inlineStr">
        <is>
          <t>08_TongHopGV</t>
        </is>
      </c>
      <c r="C13" s="12" t="inlineStr">
        <is>
          <t>Xem % tiến độ toàn nhóm, % hoàn thành đủ minh chứng và cảnh báo đóng góp cá nhân.</t>
        </is>
      </c>
      <c r="D13" s="13" t="inlineStr">
        <is>
          <t>Ưu tiên chỉ số “Hoàn thành đủ minh chứng”; các mục Không áp dụng không tính vào mẫu số.</t>
        </is>
      </c>
      <c r="E13" s="84" t="n"/>
      <c r="F13" s="84" t="n"/>
      <c r="G13" s="84" t="n"/>
      <c r="H13" s="84" t="n"/>
      <c r="I13" s="84" t="n"/>
      <c r="J13" s="84" t="n"/>
      <c r="K13" s="84" t="n"/>
      <c r="L13" s="84" t="n"/>
      <c r="M13" s="84" t="n"/>
      <c r="N13" s="84" t="n"/>
      <c r="O13" s="84" t="n"/>
      <c r="P13" s="84" t="n"/>
      <c r="Q13" s="84" t="n"/>
    </row>
    <row r="14" ht="13.9" customHeight="1">
      <c r="A14" s="84" t="n"/>
      <c r="B14" s="84" t="n"/>
      <c r="C14" s="84" t="n"/>
      <c r="D14" s="84" t="n"/>
      <c r="E14" s="84" t="n"/>
      <c r="F14" s="84" t="n"/>
      <c r="G14" s="84" t="n"/>
      <c r="H14" s="84" t="n"/>
      <c r="I14" s="84" t="n"/>
      <c r="J14" s="84" t="n"/>
      <c r="K14" s="84" t="n"/>
      <c r="L14" s="84" t="n"/>
      <c r="M14" s="84" t="n"/>
      <c r="N14" s="84" t="n"/>
      <c r="O14" s="84" t="n"/>
      <c r="P14" s="84" t="n"/>
      <c r="Q14" s="84" t="n"/>
    </row>
    <row r="15" ht="11" customHeight="1">
      <c r="A15" s="129" t="inlineStr">
        <is>
          <t>QUY ƯỚC MÀU</t>
        </is>
      </c>
      <c r="I15" s="84" t="n"/>
      <c r="J15" s="84" t="n"/>
      <c r="K15" s="84" t="n"/>
      <c r="L15" s="84" t="n"/>
      <c r="M15" s="84" t="n"/>
      <c r="N15" s="84" t="n"/>
      <c r="O15" s="84" t="n"/>
      <c r="P15" s="84" t="n"/>
      <c r="Q15" s="84" t="n"/>
    </row>
    <row r="16" ht="13.9" customHeight="1">
      <c r="A16" s="14" t="inlineStr">
        <is>
          <t>Màu vàng</t>
        </is>
      </c>
      <c r="B16" s="7" t="inlineStr">
        <is>
          <t>Ô sinh viên cần điền</t>
        </is>
      </c>
      <c r="C16" s="84" t="n"/>
      <c r="D16" s="84" t="n"/>
      <c r="E16" s="84" t="n"/>
      <c r="F16" s="84" t="n"/>
      <c r="G16" s="84" t="n"/>
      <c r="H16" s="84" t="n"/>
      <c r="I16" s="84" t="n"/>
      <c r="J16" s="84" t="n"/>
      <c r="K16" s="84" t="n"/>
      <c r="L16" s="84" t="n"/>
      <c r="M16" s="84" t="n"/>
      <c r="N16" s="84" t="n"/>
      <c r="O16" s="84" t="n"/>
      <c r="P16" s="84" t="n"/>
      <c r="Q16" s="84" t="n"/>
    </row>
    <row r="17" ht="26.25" customHeight="1">
      <c r="A17" s="15" t="inlineStr">
        <is>
          <t>Màu xám</t>
        </is>
      </c>
      <c r="B17" s="10" t="inlineStr">
        <is>
          <t>Ô công thức/tổng hợp — không sửa</t>
        </is>
      </c>
      <c r="C17" s="84" t="n"/>
      <c r="D17" s="84" t="n"/>
      <c r="E17" s="84" t="n"/>
      <c r="F17" s="84" t="n"/>
      <c r="G17" s="84" t="n"/>
      <c r="H17" s="84" t="n"/>
      <c r="I17" s="84" t="n"/>
      <c r="J17" s="84" t="n"/>
      <c r="K17" s="84" t="n"/>
      <c r="L17" s="84" t="n"/>
      <c r="M17" s="84" t="n"/>
      <c r="N17" s="84" t="n"/>
      <c r="O17" s="84" t="n"/>
      <c r="P17" s="84" t="n"/>
      <c r="Q17" s="84" t="n"/>
    </row>
    <row r="18" ht="26.25" customHeight="1">
      <c r="A18" s="16" t="inlineStr">
        <is>
          <t>Màu xanh lá</t>
        </is>
      </c>
      <c r="B18" s="10" t="inlineStr">
        <is>
          <t>Thông tin hướng dẫn hoặc mục đã đạt</t>
        </is>
      </c>
      <c r="C18" s="84" t="n"/>
      <c r="D18" s="84" t="n"/>
      <c r="E18" s="84" t="n"/>
      <c r="F18" s="84" t="n"/>
      <c r="G18" s="84" t="n"/>
      <c r="H18" s="84" t="n"/>
      <c r="I18" s="84" t="n"/>
      <c r="J18" s="84" t="n"/>
      <c r="K18" s="84" t="n"/>
      <c r="L18" s="84" t="n"/>
      <c r="M18" s="84" t="n"/>
      <c r="N18" s="84" t="n"/>
      <c r="O18" s="84" t="n"/>
      <c r="P18" s="84" t="n"/>
      <c r="Q18" s="84" t="n"/>
    </row>
    <row r="19" ht="13.9" customHeight="1">
      <c r="A19" s="17" t="inlineStr">
        <is>
          <t>Màu đỏ nhạt</t>
        </is>
      </c>
      <c r="B19" s="13" t="inlineStr">
        <is>
          <t>Thông tin bắt buộc/cảnh báo</t>
        </is>
      </c>
      <c r="C19" s="84" t="n"/>
      <c r="D19" s="84" t="n"/>
      <c r="E19" s="84" t="n"/>
      <c r="F19" s="84" t="n"/>
      <c r="G19" s="84" t="n"/>
      <c r="H19" s="84" t="n"/>
      <c r="I19" s="84" t="n"/>
      <c r="J19" s="84" t="n"/>
      <c r="K19" s="84" t="n"/>
      <c r="L19" s="84" t="n"/>
      <c r="M19" s="84" t="n"/>
      <c r="N19" s="84" t="n"/>
      <c r="O19" s="84" t="n"/>
      <c r="P19" s="84" t="n"/>
      <c r="Q19" s="84" t="n"/>
    </row>
    <row r="20" ht="13.9" customHeight="1">
      <c r="A20" s="84" t="n"/>
      <c r="B20" s="84" t="n"/>
      <c r="C20" s="84" t="n"/>
      <c r="D20" s="84" t="n"/>
      <c r="E20" s="84" t="n"/>
      <c r="F20" s="84" t="n"/>
      <c r="G20" s="84" t="n"/>
      <c r="H20" s="84" t="n"/>
      <c r="I20" s="84" t="n"/>
      <c r="J20" s="84" t="n"/>
      <c r="K20" s="84" t="n"/>
      <c r="L20" s="84" t="n"/>
      <c r="M20" s="84" t="n"/>
      <c r="N20" s="84" t="n"/>
      <c r="O20" s="84" t="n"/>
      <c r="P20" s="84" t="n"/>
      <c r="Q20" s="84" t="n"/>
    </row>
    <row r="21" ht="11" customHeight="1">
      <c r="A21" s="129" t="inlineStr">
        <is>
          <t>NGUỒN ĐẶC TẢ</t>
        </is>
      </c>
      <c r="I21" s="84" t="n"/>
      <c r="J21" s="84" t="n"/>
      <c r="K21" s="84" t="n"/>
      <c r="L21" s="84" t="n"/>
      <c r="M21" s="84" t="n"/>
      <c r="N21" s="84" t="n"/>
      <c r="O21" s="84" t="n"/>
      <c r="P21" s="84" t="n"/>
      <c r="Q21" s="84" t="n"/>
    </row>
    <row r="22" ht="52.5" customHeight="1">
      <c r="A22" s="18" t="inlineStr">
        <is>
          <t>Đặc tả TicketBox</t>
        </is>
      </c>
      <c r="B22" s="7" t="inlineStr">
        <is>
          <t>https://nndkhoa.github.io/software-design-docs/exercises/project/spec-ticketbox.html</t>
        </is>
      </c>
      <c r="C22" s="84" t="n"/>
      <c r="D22" s="84" t="n"/>
      <c r="E22" s="84" t="n"/>
      <c r="F22" s="84" t="n"/>
      <c r="G22" s="84" t="n"/>
      <c r="H22" s="84" t="n"/>
      <c r="I22" s="84" t="n"/>
      <c r="J22" s="84" t="n"/>
      <c r="K22" s="84" t="n"/>
      <c r="L22" s="84" t="n"/>
      <c r="M22" s="84" t="n"/>
      <c r="N22" s="84" t="n"/>
      <c r="O22" s="84" t="n"/>
      <c r="P22" s="84" t="n"/>
      <c r="Q22" s="84" t="n"/>
    </row>
    <row r="23" ht="39.4" customHeight="1">
      <c r="A23" s="19" t="inlineStr">
        <is>
          <t>Lưu ý</t>
        </is>
      </c>
      <c r="B23" s="13" t="inlineStr">
        <is>
          <t>File đánh giá này diễn giải yêu cầu để sinh viên tự khai báo; không thay thế đặc tả chính thức.</t>
        </is>
      </c>
      <c r="C23" s="84" t="n"/>
      <c r="D23" s="84" t="n"/>
      <c r="E23" s="84" t="n"/>
      <c r="F23" s="84" t="n"/>
      <c r="G23" s="84" t="n"/>
      <c r="H23" s="84" t="n"/>
      <c r="I23" s="84" t="n"/>
      <c r="J23" s="84" t="n"/>
      <c r="K23" s="84" t="n"/>
      <c r="L23" s="84" t="n"/>
      <c r="M23" s="84" t="n"/>
      <c r="N23" s="84" t="n"/>
      <c r="O23" s="84" t="n"/>
      <c r="P23" s="84" t="n"/>
      <c r="Q23" s="84" t="n"/>
    </row>
    <row r="24" ht="13.9" customHeight="1">
      <c r="A24" s="84" t="n"/>
      <c r="B24" s="84" t="n"/>
      <c r="C24" s="84" t="n"/>
      <c r="D24" s="84" t="n"/>
      <c r="E24" s="84" t="n"/>
      <c r="F24" s="84" t="n"/>
      <c r="G24" s="84" t="n"/>
      <c r="H24" s="84" t="n"/>
      <c r="I24" s="84" t="n"/>
      <c r="J24" s="84" t="n"/>
      <c r="K24" s="84" t="n"/>
      <c r="L24" s="84" t="n"/>
      <c r="M24" s="84" t="n"/>
      <c r="N24" s="84" t="n"/>
      <c r="O24" s="84" t="n"/>
      <c r="P24" s="84" t="n"/>
      <c r="Q24" s="84" t="n"/>
    </row>
    <row r="25" ht="13.9" customHeight="1">
      <c r="A25" s="84" t="n"/>
      <c r="B25" s="84" t="n"/>
      <c r="C25" s="84" t="n"/>
      <c r="D25" s="84" t="n"/>
      <c r="E25" s="84" t="n"/>
      <c r="F25" s="84" t="n"/>
      <c r="G25" s="84" t="n"/>
      <c r="H25" s="84" t="n"/>
      <c r="I25" s="84" t="n"/>
      <c r="J25" s="84" t="n"/>
      <c r="K25" s="84" t="n"/>
      <c r="L25" s="84" t="n"/>
      <c r="M25" s="84" t="n"/>
      <c r="N25" s="84" t="n"/>
      <c r="O25" s="84" t="n"/>
      <c r="P25" s="84" t="n"/>
      <c r="Q25" s="84" t="n"/>
    </row>
    <row r="26" ht="13.9" customHeight="1">
      <c r="A26" s="84" t="n"/>
      <c r="B26" s="84" t="n"/>
      <c r="C26" s="84" t="n"/>
      <c r="D26" s="84" t="n"/>
      <c r="E26" s="84" t="n"/>
      <c r="F26" s="84" t="n"/>
      <c r="G26" s="84" t="n"/>
      <c r="H26" s="84" t="n"/>
      <c r="I26" s="84" t="n"/>
      <c r="J26" s="84" t="n"/>
      <c r="K26" s="84" t="n"/>
      <c r="L26" s="84" t="n"/>
      <c r="M26" s="84" t="n"/>
      <c r="N26" s="84" t="n"/>
      <c r="O26" s="84" t="n"/>
      <c r="P26" s="84" t="n"/>
      <c r="Q26" s="84" t="n"/>
    </row>
    <row r="27" ht="13.9" customHeight="1">
      <c r="A27" s="84" t="n"/>
      <c r="B27" s="84" t="n"/>
      <c r="C27" s="84" t="n"/>
      <c r="D27" s="84" t="n"/>
      <c r="E27" s="84" t="n"/>
      <c r="F27" s="84" t="n"/>
      <c r="G27" s="84" t="n"/>
      <c r="H27" s="84" t="n"/>
      <c r="I27" s="84" t="n"/>
      <c r="J27" s="84" t="n"/>
      <c r="K27" s="84" t="n"/>
      <c r="L27" s="84" t="n"/>
      <c r="M27" s="84" t="n"/>
      <c r="N27" s="84" t="n"/>
      <c r="O27" s="84" t="n"/>
      <c r="P27" s="84" t="n"/>
      <c r="Q27" s="84" t="n"/>
    </row>
    <row r="28" ht="13.9" customHeight="1">
      <c r="A28" s="84" t="n"/>
      <c r="B28" s="84" t="n"/>
      <c r="C28" s="84" t="n"/>
      <c r="D28" s="84" t="n"/>
      <c r="E28" s="84" t="n"/>
      <c r="F28" s="84" t="n"/>
      <c r="G28" s="84" t="n"/>
      <c r="H28" s="84" t="n"/>
      <c r="I28" s="84" t="n"/>
      <c r="J28" s="84" t="n"/>
      <c r="K28" s="84" t="n"/>
      <c r="L28" s="84" t="n"/>
      <c r="M28" s="84" t="n"/>
      <c r="N28" s="84" t="n"/>
      <c r="O28" s="84" t="n"/>
      <c r="P28" s="84" t="n"/>
      <c r="Q28" s="84" t="n"/>
    </row>
    <row r="29" ht="13.9" customHeight="1">
      <c r="A29" s="84" t="n"/>
      <c r="B29" s="84" t="n"/>
      <c r="C29" s="84" t="n"/>
      <c r="D29" s="84" t="n"/>
      <c r="E29" s="84" t="n"/>
      <c r="F29" s="84" t="n"/>
      <c r="G29" s="84" t="n"/>
      <c r="H29" s="84" t="n"/>
      <c r="I29" s="84" t="n"/>
      <c r="J29" s="84" t="n"/>
      <c r="K29" s="84" t="n"/>
      <c r="L29" s="84" t="n"/>
      <c r="M29" s="84" t="n"/>
      <c r="N29" s="84" t="n"/>
      <c r="O29" s="84" t="n"/>
      <c r="P29" s="84" t="n"/>
      <c r="Q29" s="84" t="n"/>
    </row>
    <row r="30" ht="13.9" customHeight="1">
      <c r="A30" s="84" t="n"/>
      <c r="B30" s="84" t="n"/>
      <c r="C30" s="84" t="n"/>
      <c r="D30" s="84" t="n"/>
      <c r="E30" s="84" t="n"/>
      <c r="F30" s="84" t="n"/>
      <c r="G30" s="84" t="n"/>
      <c r="H30" s="84" t="n"/>
      <c r="I30" s="84" t="n"/>
      <c r="J30" s="84" t="n"/>
      <c r="K30" s="84" t="n"/>
      <c r="L30" s="84" t="n"/>
      <c r="M30" s="84" t="n"/>
      <c r="N30" s="84" t="n"/>
      <c r="O30" s="84" t="n"/>
      <c r="P30" s="84" t="n"/>
      <c r="Q30" s="84" t="n"/>
    </row>
    <row r="31" ht="13.9" customHeight="1">
      <c r="A31" s="84" t="n"/>
      <c r="B31" s="84" t="n"/>
      <c r="C31" s="84" t="n"/>
      <c r="D31" s="84" t="n"/>
      <c r="E31" s="84" t="n"/>
      <c r="F31" s="84" t="n"/>
      <c r="G31" s="84" t="n"/>
      <c r="H31" s="84" t="n"/>
      <c r="I31" s="84" t="n"/>
      <c r="J31" s="84" t="n"/>
      <c r="K31" s="84" t="n"/>
      <c r="L31" s="84" t="n"/>
      <c r="M31" s="84" t="n"/>
      <c r="N31" s="84" t="n"/>
      <c r="O31" s="84" t="n"/>
      <c r="P31" s="84" t="n"/>
      <c r="Q31" s="84" t="n"/>
    </row>
    <row r="32" ht="13.9" customHeight="1">
      <c r="A32" s="84" t="n"/>
      <c r="B32" s="84" t="n"/>
      <c r="C32" s="84" t="n"/>
      <c r="D32" s="84" t="n"/>
      <c r="E32" s="84" t="n"/>
      <c r="F32" s="84" t="n"/>
      <c r="G32" s="84" t="n"/>
      <c r="H32" s="84" t="n"/>
      <c r="I32" s="84" t="n"/>
      <c r="J32" s="84" t="n"/>
      <c r="K32" s="84" t="n"/>
      <c r="L32" s="84" t="n"/>
      <c r="M32" s="84" t="n"/>
      <c r="N32" s="84" t="n"/>
      <c r="O32" s="84" t="n"/>
      <c r="P32" s="84" t="n"/>
      <c r="Q32" s="84" t="n"/>
    </row>
    <row r="33" ht="13.9" customHeight="1">
      <c r="A33" s="84" t="n"/>
      <c r="B33" s="84" t="n"/>
      <c r="C33" s="84" t="n"/>
      <c r="D33" s="84" t="n"/>
      <c r="E33" s="84" t="n"/>
      <c r="F33" s="84" t="n"/>
      <c r="G33" s="84" t="n"/>
      <c r="H33" s="84" t="n"/>
      <c r="I33" s="84" t="n"/>
      <c r="J33" s="84" t="n"/>
      <c r="K33" s="84" t="n"/>
      <c r="L33" s="84" t="n"/>
      <c r="M33" s="84" t="n"/>
      <c r="N33" s="84" t="n"/>
      <c r="O33" s="84" t="n"/>
      <c r="P33" s="84" t="n"/>
      <c r="Q33" s="84" t="n"/>
    </row>
    <row r="34" ht="13.9" customHeight="1">
      <c r="A34" s="84" t="n"/>
      <c r="B34" s="84" t="n"/>
      <c r="C34" s="84" t="n"/>
      <c r="D34" s="84" t="n"/>
      <c r="E34" s="84" t="n"/>
      <c r="F34" s="84" t="n"/>
      <c r="G34" s="84" t="n"/>
      <c r="H34" s="84" t="n"/>
      <c r="I34" s="84" t="n"/>
      <c r="J34" s="84" t="n"/>
      <c r="K34" s="84" t="n"/>
      <c r="L34" s="84" t="n"/>
      <c r="M34" s="84" t="n"/>
      <c r="N34" s="84" t="n"/>
      <c r="O34" s="84" t="n"/>
      <c r="P34" s="84" t="n"/>
      <c r="Q34" s="84" t="n"/>
    </row>
    <row r="35" ht="13.9" customHeight="1">
      <c r="A35" s="84" t="n"/>
      <c r="B35" s="84" t="n"/>
      <c r="C35" s="84" t="n"/>
      <c r="D35" s="84" t="n"/>
      <c r="E35" s="84" t="n"/>
      <c r="F35" s="84" t="n"/>
      <c r="G35" s="84" t="n"/>
      <c r="H35" s="84" t="n"/>
      <c r="I35" s="84" t="n"/>
      <c r="J35" s="84" t="n"/>
      <c r="K35" s="84" t="n"/>
      <c r="L35" s="84" t="n"/>
      <c r="M35" s="84" t="n"/>
      <c r="N35" s="84" t="n"/>
      <c r="O35" s="84" t="n"/>
      <c r="P35" s="84" t="n"/>
      <c r="Q35" s="84" t="n"/>
    </row>
    <row r="36" ht="13.9" customHeight="1">
      <c r="A36" s="84" t="n"/>
      <c r="B36" s="84" t="n"/>
      <c r="C36" s="84" t="n"/>
      <c r="D36" s="84" t="n"/>
      <c r="E36" s="84" t="n"/>
      <c r="F36" s="84" t="n"/>
      <c r="G36" s="84" t="n"/>
      <c r="H36" s="84" t="n"/>
      <c r="I36" s="84" t="n"/>
      <c r="J36" s="84" t="n"/>
      <c r="K36" s="84" t="n"/>
      <c r="L36" s="84" t="n"/>
      <c r="M36" s="84" t="n"/>
      <c r="N36" s="84" t="n"/>
      <c r="O36" s="84" t="n"/>
      <c r="P36" s="84" t="n"/>
      <c r="Q36" s="84" t="n"/>
    </row>
    <row r="37" ht="13.9" customHeight="1">
      <c r="A37" s="84" t="n"/>
      <c r="B37" s="84" t="n"/>
      <c r="C37" s="84" t="n"/>
      <c r="D37" s="84" t="n"/>
      <c r="E37" s="84" t="n"/>
      <c r="F37" s="84" t="n"/>
      <c r="G37" s="84" t="n"/>
      <c r="H37" s="84" t="n"/>
      <c r="I37" s="84" t="n"/>
      <c r="J37" s="84" t="n"/>
      <c r="K37" s="84" t="n"/>
      <c r="L37" s="84" t="n"/>
      <c r="M37" s="84" t="n"/>
      <c r="N37" s="84" t="n"/>
      <c r="O37" s="84" t="n"/>
      <c r="P37" s="84" t="n"/>
      <c r="Q37" s="84" t="n"/>
    </row>
    <row r="38" ht="13.9" customHeight="1">
      <c r="A38" s="84" t="n"/>
      <c r="B38" s="84" t="n"/>
      <c r="C38" s="84" t="n"/>
      <c r="D38" s="84" t="n"/>
      <c r="E38" s="84" t="n"/>
      <c r="F38" s="84" t="n"/>
      <c r="G38" s="84" t="n"/>
      <c r="H38" s="84" t="n"/>
      <c r="I38" s="84" t="n"/>
      <c r="J38" s="84" t="n"/>
      <c r="K38" s="84" t="n"/>
      <c r="L38" s="84" t="n"/>
      <c r="M38" s="84" t="n"/>
      <c r="N38" s="84" t="n"/>
      <c r="O38" s="84" t="n"/>
      <c r="P38" s="84" t="n"/>
      <c r="Q38" s="84" t="n"/>
    </row>
    <row r="39" ht="13.9" customHeight="1">
      <c r="A39" s="84" t="n"/>
      <c r="B39" s="84" t="n"/>
      <c r="C39" s="84" t="n"/>
      <c r="D39" s="84" t="n"/>
      <c r="E39" s="84" t="n"/>
      <c r="F39" s="84" t="n"/>
      <c r="G39" s="84" t="n"/>
      <c r="H39" s="84" t="n"/>
      <c r="I39" s="84" t="n"/>
      <c r="J39" s="84" t="n"/>
      <c r="K39" s="84" t="n"/>
      <c r="L39" s="84" t="n"/>
      <c r="M39" s="84" t="n"/>
      <c r="N39" s="84" t="n"/>
      <c r="O39" s="84" t="n"/>
      <c r="P39" s="84" t="n"/>
      <c r="Q39" s="84" t="n"/>
    </row>
    <row r="40" ht="13.9" customHeight="1">
      <c r="A40" s="84" t="n"/>
      <c r="B40" s="84" t="n"/>
      <c r="C40" s="84" t="n"/>
      <c r="D40" s="84" t="n"/>
      <c r="E40" s="84" t="n"/>
      <c r="F40" s="84" t="n"/>
      <c r="G40" s="84" t="n"/>
      <c r="H40" s="84" t="n"/>
      <c r="I40" s="84" t="n"/>
      <c r="J40" s="84" t="n"/>
      <c r="K40" s="84" t="n"/>
      <c r="L40" s="84" t="n"/>
      <c r="M40" s="84" t="n"/>
      <c r="N40" s="84" t="n"/>
      <c r="O40" s="84" t="n"/>
      <c r="P40" s="84" t="n"/>
      <c r="Q40" s="84" t="n"/>
    </row>
    <row r="41" ht="13.9" customHeight="1">
      <c r="A41" s="84" t="n"/>
      <c r="B41" s="84" t="n"/>
      <c r="C41" s="84" t="n"/>
      <c r="D41" s="84" t="n"/>
      <c r="E41" s="84" t="n"/>
      <c r="F41" s="84" t="n"/>
      <c r="G41" s="84" t="n"/>
      <c r="H41" s="84" t="n"/>
      <c r="I41" s="84" t="n"/>
      <c r="J41" s="84" t="n"/>
      <c r="K41" s="84" t="n"/>
      <c r="L41" s="84" t="n"/>
      <c r="M41" s="84" t="n"/>
      <c r="N41" s="84" t="n"/>
      <c r="O41" s="84" t="n"/>
      <c r="P41" s="84" t="n"/>
      <c r="Q41" s="84" t="n"/>
    </row>
    <row r="42" ht="13.9" customHeight="1">
      <c r="A42" s="84" t="n"/>
      <c r="B42" s="84" t="n"/>
      <c r="C42" s="84" t="n"/>
      <c r="D42" s="84" t="n"/>
      <c r="E42" s="84" t="n"/>
      <c r="F42" s="84" t="n"/>
      <c r="G42" s="84" t="n"/>
      <c r="H42" s="84" t="n"/>
      <c r="I42" s="84" t="n"/>
      <c r="J42" s="84" t="n"/>
      <c r="K42" s="84" t="n"/>
      <c r="L42" s="84" t="n"/>
      <c r="M42" s="84" t="n"/>
      <c r="N42" s="84" t="n"/>
      <c r="O42" s="84" t="n"/>
      <c r="P42" s="84" t="n"/>
      <c r="Q42" s="84" t="n"/>
    </row>
    <row r="43" ht="13.9" customHeight="1">
      <c r="A43" s="84" t="n"/>
      <c r="B43" s="84" t="n"/>
      <c r="C43" s="84" t="n"/>
      <c r="D43" s="84" t="n"/>
      <c r="E43" s="84" t="n"/>
      <c r="F43" s="84" t="n"/>
      <c r="G43" s="84" t="n"/>
      <c r="H43" s="84" t="n"/>
      <c r="I43" s="84" t="n"/>
      <c r="J43" s="84" t="n"/>
      <c r="K43" s="84" t="n"/>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4">
    <mergeCell ref="A1:H1"/>
    <mergeCell ref="A3:H3"/>
    <mergeCell ref="A21:H21"/>
    <mergeCell ref="A15:H1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18" customWidth="1" min="1" max="1"/>
    <col width="28" customWidth="1" min="2" max="2"/>
    <col width="17" customWidth="1" min="3" max="3"/>
    <col width="20" customWidth="1" min="4" max="4"/>
    <col width="24" customWidth="1" min="5" max="5"/>
    <col width="35" customWidth="1" min="6" max="6"/>
    <col width="22" customWidth="1" min="7" max="7"/>
    <col width="32" customWidth="1" min="8" max="8"/>
  </cols>
  <sheetData>
    <row r="1" ht="15" customHeight="1">
      <c r="A1" s="127" t="inlineStr">
        <is>
          <t>THÔNG TIN NHÓM VÀ LINK NỘP BÀI</t>
        </is>
      </c>
      <c r="I1" s="84" t="n"/>
      <c r="J1" s="84" t="n"/>
      <c r="K1" s="84" t="n"/>
      <c r="L1" s="84" t="n"/>
      <c r="M1" s="84" t="n"/>
      <c r="N1" s="84" t="n"/>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11" customHeight="1">
      <c r="A3" s="129" t="inlineStr">
        <is>
          <t>A. THÔNG TIN CHUNG</t>
        </is>
      </c>
      <c r="I3" s="84" t="n"/>
      <c r="J3" s="84" t="n"/>
      <c r="K3" s="84" t="n"/>
      <c r="L3" s="84" t="n"/>
      <c r="M3" s="84" t="n"/>
      <c r="N3" s="84" t="n"/>
      <c r="O3" s="84" t="n"/>
      <c r="P3" s="84" t="n"/>
      <c r="Q3" s="84" t="n"/>
    </row>
    <row r="4" ht="13.9" customHeight="1">
      <c r="A4" s="20" t="inlineStr">
        <is>
          <t>Mã nhóm *</t>
        </is>
      </c>
      <c r="B4" s="88" t="n"/>
      <c r="C4" s="20" t="inlineStr">
        <is>
          <t>Lớp *</t>
        </is>
      </c>
      <c r="D4" s="88" t="n"/>
      <c r="E4" s="20" t="inlineStr">
        <is>
          <t>Tên đồ án</t>
        </is>
      </c>
      <c r="F4" s="88" t="inlineStr">
        <is>
          <t>TicketBox</t>
        </is>
      </c>
      <c r="G4" s="20" t="inlineStr">
        <is>
          <t>Ngày cập nhật</t>
        </is>
      </c>
      <c r="H4" s="22" t="n">
        <v>46218</v>
      </c>
      <c r="I4" s="84" t="n"/>
      <c r="J4" s="84" t="n"/>
      <c r="K4" s="84" t="n"/>
      <c r="L4" s="84" t="n"/>
      <c r="M4" s="84" t="n"/>
      <c r="N4" s="84" t="n"/>
      <c r="O4" s="84" t="n"/>
      <c r="P4" s="84" t="n"/>
      <c r="Q4" s="84" t="n"/>
    </row>
    <row r="5" ht="13.9" customHeight="1">
      <c r="A5" s="20" t="inlineStr">
        <is>
          <t>Tên nhóm</t>
        </is>
      </c>
      <c r="B5" s="88" t="inlineStr">
        <is>
          <t>Com Ga Xoi Mo</t>
        </is>
      </c>
      <c r="C5" s="20" t="inlineStr">
        <is>
          <t>Số thành viên</t>
        </is>
      </c>
      <c r="D5" s="23">
        <f>COUNTIFS(B16:B19,"&lt;&gt;",G16:G19,"Có")</f>
        <v/>
      </c>
      <c r="E5" s="20" t="inlineStr">
        <is>
          <t>Link repository *</t>
        </is>
      </c>
      <c r="F5" s="88" t="inlineStr">
        <is>
          <t>https://github.com/com-ga-xoi-mo/ticketbox-system</t>
        </is>
      </c>
      <c r="G5" s="20" t="inlineStr">
        <is>
          <t>Nhánh/Tag nộp</t>
        </is>
      </c>
      <c r="H5" s="88" t="inlineStr">
        <is>
          <t>main</t>
        </is>
      </c>
      <c r="I5" s="84" t="n"/>
      <c r="J5" s="84" t="n"/>
      <c r="K5" s="84" t="n"/>
      <c r="L5" s="84" t="n"/>
      <c r="M5" s="84" t="n"/>
      <c r="N5" s="84" t="n"/>
      <c r="O5" s="84" t="n"/>
      <c r="P5" s="84" t="n"/>
      <c r="Q5" s="84" t="n"/>
    </row>
    <row r="6" ht="26.25" customHeight="1">
      <c r="A6" s="20" t="inlineStr">
        <is>
          <t>Link Google Drive public *</t>
        </is>
      </c>
      <c r="B6" s="130" t="n"/>
      <c r="E6" s="20" t="inlineStr">
        <is>
          <t>Link Blueprint</t>
        </is>
      </c>
      <c r="F6" s="130" t="n"/>
      <c r="I6" s="84" t="n"/>
      <c r="J6" s="84" t="n"/>
      <c r="K6" s="84" t="n"/>
      <c r="L6" s="84" t="n"/>
      <c r="M6" s="84" t="n"/>
      <c r="N6" s="84" t="n"/>
      <c r="O6" s="84" t="n"/>
      <c r="P6" s="84" t="n"/>
      <c r="Q6" s="84" t="n"/>
    </row>
    <row r="7" ht="13.9" customHeight="1">
      <c r="A7" s="20" t="inlineStr">
        <is>
          <t>Link thư mục source/src</t>
        </is>
      </c>
      <c r="B7" s="130" t="n"/>
      <c r="E7" s="20" t="inlineStr">
        <is>
          <t>Link thư mục clips/video</t>
        </is>
      </c>
      <c r="F7" s="130" t="n"/>
      <c r="I7" s="84" t="n"/>
      <c r="J7" s="84" t="n"/>
      <c r="K7" s="84" t="n"/>
      <c r="L7" s="84" t="n"/>
      <c r="M7" s="84" t="n"/>
      <c r="N7" s="84" t="n"/>
      <c r="O7" s="84" t="n"/>
      <c r="P7" s="84" t="n"/>
      <c r="Q7" s="84" t="n"/>
    </row>
    <row r="8" ht="26.25" customHeight="1">
      <c r="A8" s="20" t="inlineStr">
        <is>
          <t>Link demo đang chạy (nếu có)</t>
        </is>
      </c>
      <c r="B8" s="130" t="n"/>
      <c r="E8" s="20" t="inlineStr">
        <is>
          <t>Link tài liệu khác</t>
        </is>
      </c>
      <c r="F8" s="130" t="n"/>
      <c r="I8" s="84" t="n"/>
      <c r="J8" s="84" t="n"/>
      <c r="K8" s="84" t="n"/>
      <c r="L8" s="84" t="n"/>
      <c r="M8" s="84" t="n"/>
      <c r="N8" s="84" t="n"/>
      <c r="O8" s="84" t="n"/>
      <c r="P8" s="84" t="n"/>
      <c r="Q8" s="84" t="n"/>
    </row>
    <row r="9" ht="13.9" customHeight="1">
      <c r="A9" s="84" t="n"/>
      <c r="B9" s="84" t="n"/>
      <c r="C9" s="84" t="n"/>
      <c r="D9" s="84" t="n"/>
      <c r="E9" s="84" t="n"/>
      <c r="F9" s="84" t="n"/>
      <c r="G9" s="84" t="n"/>
      <c r="H9" s="84" t="n"/>
      <c r="I9" s="84" t="n"/>
      <c r="J9" s="84" t="n"/>
      <c r="K9" s="84" t="n"/>
      <c r="L9" s="84" t="n"/>
      <c r="M9" s="84" t="n"/>
      <c r="N9" s="84" t="n"/>
      <c r="O9" s="84" t="n"/>
      <c r="P9" s="84" t="n"/>
      <c r="Q9" s="84" t="n"/>
    </row>
    <row r="10" ht="27" customHeight="1">
      <c r="A10" s="131" t="inlineStr">
        <is>
          <t>Link Google Drive phải bật quyền “Anyone with the link/Người có đường liên kết — Viewer”. Thư mục phải có đủ: (1) blueprint.pdf hoặc blueprint/, (2) src/ + data/ + README.md, (3) clips/ chứa video MP4 có camera thành viên và demo trực tiếp.</t>
        </is>
      </c>
      <c r="I10" s="84" t="n"/>
      <c r="J10" s="84" t="n"/>
      <c r="K10" s="84" t="n"/>
      <c r="L10" s="84" t="n"/>
      <c r="M10" s="84" t="n"/>
      <c r="N10" s="84" t="n"/>
      <c r="O10" s="84" t="n"/>
      <c r="P10" s="84" t="n"/>
      <c r="Q10" s="84" t="n"/>
    </row>
    <row r="11" ht="13.9" customHeight="1">
      <c r="I11" s="84" t="n"/>
      <c r="J11" s="84" t="n"/>
      <c r="K11" s="84" t="n"/>
      <c r="L11" s="84" t="n"/>
      <c r="M11" s="84" t="n"/>
      <c r="N11" s="84" t="n"/>
      <c r="O11" s="84" t="n"/>
      <c r="P11" s="84" t="n"/>
      <c r="Q11" s="84" t="n"/>
    </row>
    <row r="12" ht="13.9" customHeight="1">
      <c r="I12" s="84" t="n"/>
      <c r="J12" s="84" t="n"/>
      <c r="K12" s="84" t="n"/>
      <c r="L12" s="84" t="n"/>
      <c r="M12" s="84" t="n"/>
      <c r="N12" s="84" t="n"/>
      <c r="O12" s="84" t="n"/>
      <c r="P12" s="84" t="n"/>
      <c r="Q12" s="84" t="n"/>
    </row>
    <row r="13" ht="13.9" customHeight="1">
      <c r="A13" s="84" t="n"/>
      <c r="B13" s="84" t="n"/>
      <c r="C13" s="84" t="n"/>
      <c r="D13" s="84" t="n"/>
      <c r="E13" s="84" t="n"/>
      <c r="F13" s="84" t="n"/>
      <c r="G13" s="84" t="n"/>
      <c r="H13" s="84" t="n"/>
      <c r="I13" s="84" t="n"/>
      <c r="J13" s="84" t="n"/>
      <c r="K13" s="84" t="n"/>
      <c r="L13" s="84" t="n"/>
      <c r="M13" s="84" t="n"/>
      <c r="N13" s="84" t="n"/>
      <c r="O13" s="84" t="n"/>
      <c r="P13" s="84" t="n"/>
      <c r="Q13" s="84" t="n"/>
    </row>
    <row r="14" ht="11" customHeight="1">
      <c r="A14" s="129" t="inlineStr">
        <is>
          <t>B. DANH SÁCH THÀNH VIÊN — CHỈ ĐIỀN ĐÚNG SỐ NGƯỜI THỰC TẾ (1–4)</t>
        </is>
      </c>
      <c r="I14" s="84" t="n"/>
      <c r="J14" s="84" t="n"/>
      <c r="K14" s="84" t="n"/>
      <c r="L14" s="84" t="n"/>
      <c r="M14" s="84" t="n"/>
      <c r="N14" s="84" t="n"/>
      <c r="O14" s="84" t="n"/>
      <c r="P14" s="84" t="n"/>
      <c r="Q14" s="84" t="n"/>
    </row>
    <row r="15" ht="13.9" customHeight="1">
      <c r="A15" s="2" t="inlineStr">
        <is>
          <t>STT</t>
        </is>
      </c>
      <c r="B15" s="3" t="inlineStr">
        <is>
          <t>Họ và tên *</t>
        </is>
      </c>
      <c r="C15" s="3" t="inlineStr">
        <is>
          <t>MSSV *</t>
        </is>
      </c>
      <c r="D15" s="3" t="inlineStr">
        <is>
          <t>Email</t>
        </is>
      </c>
      <c r="E15" s="3" t="inlineStr">
        <is>
          <t>Vai trò chính</t>
        </is>
      </c>
      <c r="F15" s="3" t="inlineStr">
        <is>
          <t>GitHub username</t>
        </is>
      </c>
      <c r="G15" s="3" t="inlineStr">
        <is>
          <t>Tham gia nhóm?</t>
        </is>
      </c>
      <c r="H15" s="4" t="inlineStr">
        <is>
          <t>Ghi chú</t>
        </is>
      </c>
      <c r="I15" s="84" t="n"/>
      <c r="J15" s="84" t="n"/>
      <c r="K15" s="84" t="n"/>
      <c r="L15" s="84" t="n"/>
      <c r="M15" s="84" t="n"/>
      <c r="N15" s="84" t="n"/>
      <c r="O15" s="84" t="n"/>
      <c r="P15" s="84" t="n"/>
      <c r="Q15" s="84" t="n"/>
    </row>
    <row r="16" ht="13.9" customHeight="1">
      <c r="A16" s="24" t="n">
        <v>1</v>
      </c>
      <c r="B16" s="25" t="inlineStr">
        <is>
          <t>Nguyễn Bảo An</t>
        </is>
      </c>
      <c r="C16" s="26" t="inlineStr">
        <is>
          <t>23120207</t>
        </is>
      </c>
      <c r="D16" s="26" t="inlineStr">
        <is>
          <t>baoan1real1@gmail.com</t>
        </is>
      </c>
      <c r="E16" s="26" t="inlineStr">
        <is>
          <t>Kiến trúc / Backend nền tảng</t>
        </is>
      </c>
      <c r="F16" s="26" t="inlineStr">
        <is>
          <t>NgBaoAnn</t>
        </is>
      </c>
      <c r="G16" s="68" t="inlineStr">
        <is>
          <t>Có</t>
        </is>
      </c>
      <c r="H16" s="27" t="inlineStr">
        <is>
          <t>Người đại diện. Blueprint, C4, ERD, ADR; RBAC; platform foundation; seed; audience-web.</t>
        </is>
      </c>
      <c r="I16" s="84" t="n"/>
      <c r="J16" s="84" t="n"/>
      <c r="K16" s="84" t="n"/>
      <c r="L16" s="84" t="n"/>
      <c r="M16" s="84" t="n"/>
      <c r="N16" s="84" t="n"/>
      <c r="O16" s="84" t="n"/>
      <c r="P16" s="84" t="n"/>
      <c r="Q16" s="84" t="n"/>
    </row>
    <row r="17" ht="13.9" customHeight="1">
      <c r="A17" s="28" t="n">
        <v>2</v>
      </c>
      <c r="B17" s="29" t="inlineStr">
        <is>
          <t>Phạm Quang Vinh</t>
        </is>
      </c>
      <c r="C17" s="30" t="inlineStr">
        <is>
          <t>23120202</t>
        </is>
      </c>
      <c r="D17" s="30" t="inlineStr">
        <is>
          <t>vinhp1546@gmail.com</t>
        </is>
      </c>
      <c r="E17" s="30" t="inlineStr">
        <is>
          <t>Backend Catalog / Frontend Admin</t>
        </is>
      </c>
      <c r="F17" s="30" t="inlineStr">
        <is>
          <t>vinh-code</t>
        </is>
      </c>
      <c r="G17" s="69" t="inlineStr">
        <is>
          <t>Có</t>
        </is>
      </c>
      <c r="H17" s="31" t="inlineStr">
        <is>
          <t>Concert catalog, caching Redis, quản trị concert/admin web, seating map SVG. Hỗ trợ UI AI bio.</t>
        </is>
      </c>
      <c r="I17" s="84" t="n"/>
      <c r="J17" s="84" t="n"/>
      <c r="K17" s="84" t="n"/>
      <c r="L17" s="84" t="n"/>
      <c r="M17" s="84" t="n"/>
      <c r="N17" s="84" t="n"/>
      <c r="O17" s="84" t="n"/>
      <c r="P17" s="84" t="n"/>
      <c r="Q17" s="84" t="n"/>
    </row>
    <row r="18" ht="13.9" customHeight="1">
      <c r="A18" s="28" t="n">
        <v>3</v>
      </c>
      <c r="B18" s="29" t="inlineStr">
        <is>
          <t>Nguyễn Lê Thế Vinh</t>
        </is>
      </c>
      <c r="C18" s="30" t="inlineStr">
        <is>
          <t>23120190</t>
        </is>
      </c>
      <c r="D18" s="30" t="inlineStr">
        <is>
          <t>nguyenlethevinh14@gmail.com</t>
        </is>
      </c>
      <c r="E18" s="30" t="inlineStr">
        <is>
          <t>Mobile Check-in / Tích hợp (AI, CSV, Notification)</t>
        </is>
      </c>
      <c r="F18" s="30" t="inlineStr">
        <is>
          <t>tzin1401</t>
        </is>
      </c>
      <c r="G18" s="69" t="inlineStr">
        <is>
          <t>Có</t>
        </is>
      </c>
      <c r="H18" s="31" t="inlineStr">
        <is>
          <t>App soát vé RN, offline sync, AI Artist Bio, import CSV Guest List, notification đa kênh.</t>
        </is>
      </c>
      <c r="I18" s="84" t="n"/>
      <c r="J18" s="84" t="n"/>
      <c r="K18" s="84" t="n"/>
      <c r="L18" s="84" t="n"/>
      <c r="M18" s="84" t="n"/>
      <c r="N18" s="84" t="n"/>
      <c r="O18" s="84" t="n"/>
      <c r="P18" s="84" t="n"/>
      <c r="Q18" s="84" t="n"/>
    </row>
    <row r="19" ht="13.9" customHeight="1">
      <c r="A19" s="32" t="n">
        <v>4</v>
      </c>
      <c r="B19" s="33" t="inlineStr">
        <is>
          <t>Trương Nhật Đạt</t>
        </is>
      </c>
      <c r="C19" s="34" t="inlineStr">
        <is>
          <t>23120231</t>
        </is>
      </c>
      <c r="D19" s="34" t="inlineStr">
        <is>
          <t>nhatdat2905@gmail.com</t>
        </is>
      </c>
      <c r="E19" s="34" t="inlineStr">
        <is>
          <t>Backend Giao dịch &amp; Thanh toán</t>
        </is>
      </c>
      <c r="F19" s="34" t="inlineStr">
        <is>
          <t>nhaajtdajt</t>
        </is>
      </c>
      <c r="G19" s="70" t="inlineStr">
        <is>
          <t>Có</t>
        </is>
      </c>
      <c r="H19" s="35" t="inlineStr">
        <is>
          <t>Chống oversell, giới hạn vé/user, payment (idempotency, circuit breaker), rate limiting, checkout.</t>
        </is>
      </c>
      <c r="I19" s="84" t="n"/>
      <c r="J19" s="84" t="n"/>
      <c r="K19" s="84" t="n"/>
      <c r="L19" s="84" t="n"/>
      <c r="M19" s="84" t="n"/>
      <c r="N19" s="84" t="n"/>
      <c r="O19" s="84" t="n"/>
      <c r="P19" s="84" t="n"/>
      <c r="Q19" s="84" t="n"/>
    </row>
    <row r="20" ht="13.9" customHeight="1">
      <c r="A20" s="84" t="n"/>
      <c r="B20" s="84" t="n"/>
      <c r="C20" s="84" t="n"/>
      <c r="D20" s="84" t="n"/>
      <c r="E20" s="84" t="n"/>
      <c r="F20" s="84" t="n"/>
      <c r="G20" s="84" t="n"/>
      <c r="H20" s="84" t="n"/>
      <c r="I20" s="84" t="n"/>
      <c r="J20" s="84" t="n"/>
      <c r="K20" s="84" t="n"/>
      <c r="L20" s="84" t="n"/>
      <c r="M20" s="84" t="n"/>
      <c r="N20" s="84" t="n"/>
      <c r="O20" s="84" t="n"/>
      <c r="P20" s="84" t="n"/>
      <c r="Q20" s="84" t="n"/>
    </row>
    <row r="21" ht="11" customHeight="1">
      <c r="A21" s="129" t="inlineStr">
        <is>
          <t>C. XÁC NHẬN CỦA NHÓM</t>
        </is>
      </c>
      <c r="I21" s="84" t="n"/>
      <c r="J21" s="84" t="n"/>
      <c r="K21" s="84" t="n"/>
      <c r="L21" s="84" t="n"/>
      <c r="M21" s="84" t="n"/>
      <c r="N21" s="84" t="n"/>
      <c r="O21" s="84" t="n"/>
      <c r="P21" s="84" t="n"/>
      <c r="Q21" s="84" t="n"/>
    </row>
    <row r="22" ht="13.9" customHeight="1">
      <c r="A22" s="20" t="inlineStr">
        <is>
          <t>Cam kết</t>
        </is>
      </c>
      <c r="B22" s="132" t="inlineStr">
        <is>
          <t>Nhóm xác nhận các thông tin, link và tỷ lệ đóng góp trong file là đúng; mỗi thành viên có thể giải thích phần việc đã khai báo.</t>
        </is>
      </c>
      <c r="I22" s="84" t="n"/>
      <c r="J22" s="84" t="n"/>
      <c r="K22" s="84" t="n"/>
      <c r="L22" s="84" t="n"/>
      <c r="M22" s="84" t="n"/>
      <c r="N22" s="84" t="n"/>
      <c r="O22" s="84" t="n"/>
      <c r="P22" s="84" t="n"/>
      <c r="Q22" s="84" t="n"/>
    </row>
    <row r="23" ht="26.25" customHeight="1">
      <c r="A23" s="20" t="inlineStr">
        <is>
          <t>Người đại diện</t>
        </is>
      </c>
      <c r="B23" s="88" t="inlineStr">
        <is>
          <t>Nguyễn Bảo An</t>
        </is>
      </c>
      <c r="C23" s="20" t="inlineStr">
        <is>
          <t>Ngày xác nhận</t>
        </is>
      </c>
      <c r="D23" s="139" t="n">
        <v>46218</v>
      </c>
      <c r="E23" s="20" t="inlineStr">
        <is>
          <t>Trạng thái link Drive</t>
        </is>
      </c>
      <c r="F23" s="88" t="inlineStr">
        <is>
          <t>Chưa có</t>
        </is>
      </c>
      <c r="G23" s="20" t="inlineStr">
        <is>
          <t>Đã kiểm tra trên thiết bị khác?</t>
        </is>
      </c>
      <c r="H23" s="88" t="inlineStr">
        <is>
          <t>Không</t>
        </is>
      </c>
      <c r="I23" s="84" t="n"/>
      <c r="J23" s="84" t="n"/>
      <c r="K23" s="84" t="n"/>
      <c r="L23" s="84" t="n"/>
      <c r="M23" s="84" t="n"/>
      <c r="N23" s="84" t="n"/>
      <c r="O23" s="84" t="n"/>
      <c r="P23" s="84" t="n"/>
      <c r="Q23" s="84" t="n"/>
    </row>
    <row r="24" ht="13.9" customHeight="1">
      <c r="A24" s="20" t="inlineStr">
        <is>
          <t>Ghi chú</t>
        </is>
      </c>
      <c r="B24" s="36" t="inlineStr">
        <is>
          <t>Chưa tạo Google Drive nộp bài. Blueprint/source/README hiện nằm trong repo GitHub; nhóm sẽ đẩy lên Drive public và merge dev -&gt; main trước khi nộp.</t>
        </is>
      </c>
      <c r="C24" s="37" t="n"/>
      <c r="D24" s="37" t="n"/>
      <c r="E24" s="37" t="n"/>
      <c r="F24" s="37" t="n"/>
      <c r="G24" s="37" t="n"/>
      <c r="H24" s="38" t="n"/>
      <c r="I24" s="84" t="n"/>
      <c r="J24" s="84" t="n"/>
      <c r="K24" s="84" t="n"/>
      <c r="L24" s="84" t="n"/>
      <c r="M24" s="84" t="n"/>
      <c r="N24" s="84" t="n"/>
      <c r="O24" s="84" t="n"/>
      <c r="P24" s="84" t="n"/>
      <c r="Q24" s="84" t="n"/>
    </row>
    <row r="25" ht="13.9" customHeight="1">
      <c r="A25" s="84" t="n"/>
      <c r="B25" s="84" t="n"/>
      <c r="C25" s="84" t="n"/>
      <c r="D25" s="84" t="n"/>
      <c r="E25" s="84" t="n"/>
      <c r="F25" s="84" t="n"/>
      <c r="G25" s="84" t="n"/>
      <c r="H25" s="84" t="n"/>
      <c r="I25" s="84" t="n"/>
      <c r="J25" s="84" t="n"/>
      <c r="K25" s="84" t="n"/>
      <c r="L25" s="84" t="n"/>
      <c r="M25" s="84" t="n"/>
      <c r="N25" s="84" t="n"/>
      <c r="O25" s="84" t="n"/>
      <c r="P25" s="84" t="n"/>
      <c r="Q25" s="84" t="n"/>
    </row>
    <row r="26" ht="13.9" customHeight="1">
      <c r="A26" s="84" t="n"/>
      <c r="B26" s="84" t="n"/>
      <c r="C26" s="84" t="n"/>
      <c r="D26" s="84" t="n"/>
      <c r="E26" s="84" t="n"/>
      <c r="F26" s="84" t="n"/>
      <c r="G26" s="84" t="n"/>
      <c r="H26" s="84" t="n"/>
      <c r="I26" s="84" t="n"/>
      <c r="J26" s="84" t="n"/>
      <c r="K26" s="84" t="n"/>
      <c r="L26" s="84" t="n"/>
      <c r="M26" s="84" t="n"/>
      <c r="N26" s="84" t="n"/>
      <c r="O26" s="84" t="n"/>
      <c r="P26" s="84" t="n"/>
      <c r="Q26" s="84" t="n"/>
    </row>
    <row r="27" ht="13.9" customHeight="1">
      <c r="A27" s="84" t="n"/>
      <c r="B27" s="84" t="n"/>
      <c r="C27" s="84" t="n"/>
      <c r="D27" s="84" t="n"/>
      <c r="E27" s="84" t="n"/>
      <c r="F27" s="84" t="n"/>
      <c r="G27" s="84" t="n"/>
      <c r="H27" s="84" t="n"/>
      <c r="I27" s="84" t="n"/>
      <c r="J27" s="84" t="n"/>
      <c r="K27" s="84" t="n"/>
      <c r="L27" s="84" t="n"/>
      <c r="M27" s="84" t="n"/>
      <c r="N27" s="84" t="n"/>
      <c r="O27" s="84" t="n"/>
      <c r="P27" s="84" t="n"/>
      <c r="Q27" s="84" t="n"/>
    </row>
    <row r="28" ht="13.9" customHeight="1">
      <c r="A28" s="84" t="n"/>
      <c r="B28" s="84" t="n"/>
      <c r="C28" s="84" t="n"/>
      <c r="D28" s="84" t="n"/>
      <c r="E28" s="84" t="n"/>
      <c r="F28" s="84" t="n"/>
      <c r="G28" s="84" t="n"/>
      <c r="H28" s="84" t="n"/>
      <c r="I28" s="84" t="n"/>
      <c r="J28" s="84" t="n"/>
      <c r="K28" s="84" t="n"/>
      <c r="L28" s="84" t="n"/>
      <c r="M28" s="84" t="n"/>
      <c r="N28" s="84" t="n"/>
      <c r="O28" s="84" t="n"/>
      <c r="P28" s="84" t="n"/>
      <c r="Q28" s="84" t="n"/>
    </row>
    <row r="29" ht="13.9" customHeight="1">
      <c r="A29" s="84" t="n"/>
      <c r="B29" s="84" t="n"/>
      <c r="C29" s="84" t="n"/>
      <c r="D29" s="84" t="n"/>
      <c r="E29" s="84" t="n"/>
      <c r="F29" s="84" t="n"/>
      <c r="G29" s="84" t="n"/>
      <c r="H29" s="84" t="n"/>
      <c r="I29" s="84" t="n"/>
      <c r="J29" s="84" t="n"/>
      <c r="K29" s="84" t="n"/>
      <c r="L29" s="84" t="n"/>
      <c r="M29" s="84" t="n"/>
      <c r="N29" s="84" t="n"/>
      <c r="O29" s="84" t="n"/>
      <c r="P29" s="84" t="n"/>
      <c r="Q29" s="84" t="n"/>
    </row>
    <row r="30" ht="13.9" customHeight="1">
      <c r="A30" s="84" t="n"/>
      <c r="B30" s="84" t="n"/>
      <c r="C30" s="84" t="n"/>
      <c r="D30" s="84" t="n"/>
      <c r="E30" s="84" t="n"/>
      <c r="F30" s="84" t="n"/>
      <c r="G30" s="84" t="n"/>
      <c r="H30" s="84" t="n"/>
      <c r="I30" s="84" t="n"/>
      <c r="J30" s="84" t="n"/>
      <c r="K30" s="84" t="n"/>
      <c r="L30" s="84" t="n"/>
      <c r="M30" s="84" t="n"/>
      <c r="N30" s="84" t="n"/>
      <c r="O30" s="84" t="n"/>
      <c r="P30" s="84" t="n"/>
      <c r="Q30" s="84" t="n"/>
    </row>
    <row r="31" ht="13.9" customHeight="1">
      <c r="A31" s="84" t="n"/>
      <c r="B31" s="84" t="n"/>
      <c r="C31" s="84" t="n"/>
      <c r="D31" s="84" t="n"/>
      <c r="E31" s="84" t="n"/>
      <c r="F31" s="84" t="n"/>
      <c r="G31" s="84" t="n"/>
      <c r="H31" s="84" t="n"/>
      <c r="I31" s="84" t="n"/>
      <c r="J31" s="84" t="n"/>
      <c r="K31" s="84" t="n"/>
      <c r="L31" s="84" t="n"/>
      <c r="M31" s="84" t="n"/>
      <c r="N31" s="84" t="n"/>
      <c r="O31" s="84" t="n"/>
      <c r="P31" s="84" t="n"/>
      <c r="Q31" s="84" t="n"/>
    </row>
    <row r="32" ht="13.9" customHeight="1">
      <c r="A32" s="84" t="n"/>
      <c r="B32" s="84" t="n"/>
      <c r="C32" s="84" t="n"/>
      <c r="D32" s="84" t="n"/>
      <c r="E32" s="84" t="n"/>
      <c r="F32" s="84" t="n"/>
      <c r="G32" s="84" t="n"/>
      <c r="H32" s="84" t="n"/>
      <c r="I32" s="84" t="n"/>
      <c r="J32" s="84" t="n"/>
      <c r="K32" s="84" t="n"/>
      <c r="L32" s="84" t="n"/>
      <c r="M32" s="84" t="n"/>
      <c r="N32" s="84" t="n"/>
      <c r="O32" s="84" t="n"/>
      <c r="P32" s="84" t="n"/>
      <c r="Q32" s="84" t="n"/>
    </row>
    <row r="33" ht="13.9" customHeight="1">
      <c r="A33" s="84" t="n"/>
      <c r="B33" s="84" t="n"/>
      <c r="C33" s="84" t="n"/>
      <c r="D33" s="84" t="n"/>
      <c r="E33" s="84" t="n"/>
      <c r="F33" s="84" t="n"/>
      <c r="G33" s="84" t="n"/>
      <c r="H33" s="84" t="n"/>
      <c r="I33" s="84" t="n"/>
      <c r="J33" s="84" t="n"/>
      <c r="K33" s="84" t="n"/>
      <c r="L33" s="84" t="n"/>
      <c r="M33" s="84" t="n"/>
      <c r="N33" s="84" t="n"/>
      <c r="O33" s="84" t="n"/>
      <c r="P33" s="84" t="n"/>
      <c r="Q33" s="84" t="n"/>
    </row>
    <row r="34" ht="13.9" customHeight="1">
      <c r="A34" s="84" t="n"/>
      <c r="B34" s="84" t="n"/>
      <c r="C34" s="84" t="n"/>
      <c r="D34" s="84" t="n"/>
      <c r="E34" s="84" t="n"/>
      <c r="F34" s="84" t="n"/>
      <c r="G34" s="84" t="n"/>
      <c r="H34" s="84" t="n"/>
      <c r="I34" s="84" t="n"/>
      <c r="J34" s="84" t="n"/>
      <c r="K34" s="84" t="n"/>
      <c r="L34" s="84" t="n"/>
      <c r="M34" s="84" t="n"/>
      <c r="N34" s="84" t="n"/>
      <c r="O34" s="84" t="n"/>
      <c r="P34" s="84" t="n"/>
      <c r="Q34" s="84" t="n"/>
    </row>
    <row r="35" ht="13.9" customHeight="1">
      <c r="A35" s="84" t="n"/>
      <c r="B35" s="84" t="n"/>
      <c r="C35" s="84" t="n"/>
      <c r="D35" s="84" t="n"/>
      <c r="E35" s="84" t="n"/>
      <c r="F35" s="84" t="n"/>
      <c r="G35" s="84" t="n"/>
      <c r="H35" s="84" t="n"/>
      <c r="I35" s="84" t="n"/>
      <c r="J35" s="84" t="n"/>
      <c r="K35" s="84" t="n"/>
      <c r="L35" s="84" t="n"/>
      <c r="M35" s="84" t="n"/>
      <c r="N35" s="84" t="n"/>
      <c r="O35" s="84" t="n"/>
      <c r="P35" s="84" t="n"/>
      <c r="Q35" s="84" t="n"/>
    </row>
    <row r="36" ht="13.9" customHeight="1">
      <c r="A36" s="84" t="n"/>
      <c r="B36" s="84" t="n"/>
      <c r="C36" s="84" t="n"/>
      <c r="D36" s="84" t="n"/>
      <c r="E36" s="84" t="n"/>
      <c r="F36" s="84" t="n"/>
      <c r="G36" s="84" t="n"/>
      <c r="H36" s="84" t="n"/>
      <c r="I36" s="84" t="n"/>
      <c r="J36" s="84" t="n"/>
      <c r="K36" s="84" t="n"/>
      <c r="L36" s="84" t="n"/>
      <c r="M36" s="84" t="n"/>
      <c r="N36" s="84" t="n"/>
      <c r="O36" s="84" t="n"/>
      <c r="P36" s="84" t="n"/>
      <c r="Q36" s="84" t="n"/>
    </row>
    <row r="37" ht="13.9" customHeight="1">
      <c r="A37" s="84" t="n"/>
      <c r="B37" s="84" t="n"/>
      <c r="C37" s="84" t="n"/>
      <c r="D37" s="84" t="n"/>
      <c r="E37" s="84" t="n"/>
      <c r="F37" s="84" t="n"/>
      <c r="G37" s="84" t="n"/>
      <c r="H37" s="84" t="n"/>
      <c r="I37" s="84" t="n"/>
      <c r="J37" s="84" t="n"/>
      <c r="K37" s="84" t="n"/>
      <c r="L37" s="84" t="n"/>
      <c r="M37" s="84" t="n"/>
      <c r="N37" s="84" t="n"/>
      <c r="O37" s="84" t="n"/>
      <c r="P37" s="84" t="n"/>
      <c r="Q37" s="84" t="n"/>
    </row>
    <row r="38" ht="13.9" customHeight="1">
      <c r="A38" s="84" t="n"/>
      <c r="B38" s="84" t="n"/>
      <c r="C38" s="84" t="n"/>
      <c r="D38" s="84" t="n"/>
      <c r="E38" s="84" t="n"/>
      <c r="F38" s="84" t="n"/>
      <c r="G38" s="84" t="n"/>
      <c r="H38" s="84" t="n"/>
      <c r="I38" s="84" t="n"/>
      <c r="J38" s="84" t="n"/>
      <c r="K38" s="84" t="n"/>
      <c r="L38" s="84" t="n"/>
      <c r="M38" s="84" t="n"/>
      <c r="N38" s="84" t="n"/>
      <c r="O38" s="84" t="n"/>
      <c r="P38" s="84" t="n"/>
      <c r="Q38" s="84" t="n"/>
    </row>
    <row r="39" ht="13.9" customHeight="1">
      <c r="A39" s="84" t="n"/>
      <c r="B39" s="84" t="n"/>
      <c r="C39" s="84" t="n"/>
      <c r="D39" s="84" t="n"/>
      <c r="E39" s="84" t="n"/>
      <c r="F39" s="84" t="n"/>
      <c r="G39" s="84" t="n"/>
      <c r="H39" s="84" t="n"/>
      <c r="I39" s="84" t="n"/>
      <c r="J39" s="84" t="n"/>
      <c r="K39" s="84" t="n"/>
      <c r="L39" s="84" t="n"/>
      <c r="M39" s="84" t="n"/>
      <c r="N39" s="84" t="n"/>
      <c r="O39" s="84" t="n"/>
      <c r="P39" s="84" t="n"/>
      <c r="Q39" s="84" t="n"/>
    </row>
    <row r="40" ht="13.9" customHeight="1">
      <c r="A40" s="84" t="n"/>
      <c r="B40" s="84" t="n"/>
      <c r="C40" s="84" t="n"/>
      <c r="D40" s="84" t="n"/>
      <c r="E40" s="84" t="n"/>
      <c r="F40" s="84" t="n"/>
      <c r="G40" s="84" t="n"/>
      <c r="H40" s="84" t="n"/>
      <c r="I40" s="84" t="n"/>
      <c r="J40" s="84" t="n"/>
      <c r="K40" s="84" t="n"/>
      <c r="L40" s="84" t="n"/>
      <c r="M40" s="84" t="n"/>
      <c r="N40" s="84" t="n"/>
      <c r="O40" s="84" t="n"/>
      <c r="P40" s="84" t="n"/>
      <c r="Q40" s="84" t="n"/>
    </row>
    <row r="41" ht="13.9" customHeight="1">
      <c r="A41" s="84" t="n"/>
      <c r="B41" s="84" t="n"/>
      <c r="C41" s="84" t="n"/>
      <c r="D41" s="84" t="n"/>
      <c r="E41" s="84" t="n"/>
      <c r="F41" s="84" t="n"/>
      <c r="G41" s="84" t="n"/>
      <c r="H41" s="84" t="n"/>
      <c r="I41" s="84" t="n"/>
      <c r="J41" s="84" t="n"/>
      <c r="K41" s="84" t="n"/>
      <c r="L41" s="84" t="n"/>
      <c r="M41" s="84" t="n"/>
      <c r="N41" s="84" t="n"/>
      <c r="O41" s="84" t="n"/>
      <c r="P41" s="84" t="n"/>
      <c r="Q41" s="84" t="n"/>
    </row>
    <row r="42" ht="13.9" customHeight="1">
      <c r="A42" s="84" t="n"/>
      <c r="B42" s="84" t="n"/>
      <c r="C42" s="84" t="n"/>
      <c r="D42" s="84" t="n"/>
      <c r="E42" s="84" t="n"/>
      <c r="F42" s="84" t="n"/>
      <c r="G42" s="84" t="n"/>
      <c r="H42" s="84" t="n"/>
      <c r="I42" s="84" t="n"/>
      <c r="J42" s="84" t="n"/>
      <c r="K42" s="84" t="n"/>
      <c r="L42" s="84" t="n"/>
      <c r="M42" s="84" t="n"/>
      <c r="N42" s="84" t="n"/>
      <c r="O42" s="84" t="n"/>
      <c r="P42" s="84" t="n"/>
      <c r="Q42" s="84" t="n"/>
    </row>
    <row r="43" ht="13.9" customHeight="1">
      <c r="A43" s="84" t="n"/>
      <c r="B43" s="84" t="n"/>
      <c r="C43" s="84" t="n"/>
      <c r="D43" s="84" t="n"/>
      <c r="E43" s="84" t="n"/>
      <c r="F43" s="84" t="n"/>
      <c r="G43" s="84" t="n"/>
      <c r="H43" s="84" t="n"/>
      <c r="I43" s="84" t="n"/>
      <c r="J43" s="84" t="n"/>
      <c r="K43" s="84" t="n"/>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12">
    <mergeCell ref="B22:H22"/>
    <mergeCell ref="A3:H3"/>
    <mergeCell ref="A21:H21"/>
    <mergeCell ref="F6:H6"/>
    <mergeCell ref="A10:H12"/>
    <mergeCell ref="F7:H7"/>
    <mergeCell ref="B8:D8"/>
    <mergeCell ref="F8:H8"/>
    <mergeCell ref="A14:H14"/>
    <mergeCell ref="A1:H1"/>
    <mergeCell ref="B7:D7"/>
    <mergeCell ref="B6:D6"/>
  </mergeCells>
  <dataValidations count="2">
    <dataValidation sqref="E16:E19" showDropDown="0" showInputMessage="0" showErrorMessage="0" allowBlank="0" type="list">
      <formula1>"Kiến trúc/Blueprint,Backend,Frontend,Mobile/Check-in,DevOps/Database,Testing/Tài liệu,Khác"</formula1>
    </dataValidation>
    <dataValidation sqref="F23" showDropDown="0" showInputMessage="0" showErrorMessage="0" allowBlank="0" type="list">
      <formula1>"Mở được,Không mở được,Chưa kiểm tra"</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9" customWidth="1" min="1" max="1"/>
    <col width="12" customWidth="1" min="2" max="2"/>
    <col width="20" customWidth="1" min="3" max="3"/>
    <col width="58" customWidth="1" min="4" max="4"/>
    <col width="48" customWidth="1" min="5" max="5"/>
    <col width="23" customWidth="1" min="6" max="6"/>
    <col width="16" customWidth="1" min="7" max="7"/>
    <col width="9" customWidth="1" min="8" max="8"/>
    <col width="42" customWidth="1" min="9" max="9"/>
    <col width="19" customWidth="1" min="10" max="10"/>
    <col width="38" customWidth="1" min="11" max="11"/>
  </cols>
  <sheetData>
    <row r="1" ht="15" customHeight="1">
      <c r="A1" s="127" t="inlineStr">
        <is>
          <t>CHECKLIST ĐỐI CHIẾU YÊU CẦU ĐỒ ÁN TICKETBOX</t>
        </is>
      </c>
      <c r="L1" s="84" t="n"/>
      <c r="M1" s="84" t="n"/>
      <c r="N1" s="84" t="n"/>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18" customHeight="1">
      <c r="A3" s="128" t="inlineStr">
        <is>
          <t>Điền theo sản phẩm thực tế. “Tiến độ tự khai” là trung bình cột % HT. “Hoàn thành đủ minh chứng” chỉ tính mục có trạng thái Hoàn thành, tự kiểm tra Đạt và có link/path minh chứng. Mục “Không áp dụng” được loại khỏi mẫu số.</t>
        </is>
      </c>
      <c r="L3" s="84" t="n"/>
      <c r="M3" s="84" t="n"/>
      <c r="N3" s="84" t="n"/>
      <c r="O3" s="84" t="n"/>
      <c r="P3" s="84" t="n"/>
      <c r="Q3" s="84" t="n"/>
    </row>
    <row r="4" ht="21" customHeight="1">
      <c r="A4" s="71" t="inlineStr">
        <is>
          <t>TIẾN ĐỘ TỰ KHAI</t>
        </is>
      </c>
      <c r="B4" s="72">
        <f>IFERROR(SUMIFS($H$6:$H$43,$G$6:$G$43,"&lt;&gt;Không áp dụng")/(COUNTIFS($A$6:$A$43,"&lt;&gt;",$G$6:$G$43,"&lt;&gt;Không áp dụng"))/100,0)</f>
        <v/>
      </c>
      <c r="C4" s="71" t="inlineStr">
        <is>
          <t>HOÀN THÀNH 100%</t>
        </is>
      </c>
      <c r="D4" s="72">
        <f>IFERROR(COUNTIFS($G$6:$G$43,"Hoàn thành")/(COUNTIFS($A$6:$A$43,"&lt;&gt;",$G$6:$G$43,"&lt;&gt;Không áp dụng")),0)</f>
        <v/>
      </c>
      <c r="E4" s="71" t="inlineStr">
        <is>
          <t>TỰ KIỂM TRA ĐẠT</t>
        </is>
      </c>
      <c r="F4" s="72">
        <f>IFERROR(COUNTIFS($J$6:$J$43,"Đạt",$G$6:$G$43,"&lt;&gt;Không áp dụng")/(COUNTIFS($A$6:$A$43,"&lt;&gt;",$G$6:$G$43,"&lt;&gt;Không áp dụng")),0)</f>
        <v/>
      </c>
      <c r="G4" s="71" t="inlineStr">
        <is>
          <t>CÓ MINH CHỨNG</t>
        </is>
      </c>
      <c r="H4" s="72">
        <f>IFERROR(COUNTIFS($I$6:$I$43,"&lt;&gt;",$G$6:$G$43,"&lt;&gt;Không áp dụng")/(COUNTIFS($A$6:$A$43,"&lt;&gt;",$G$6:$G$43,"&lt;&gt;Không áp dụng")),0)</f>
        <v/>
      </c>
      <c r="I4" s="71" t="inlineStr">
        <is>
          <t>HOÀN THÀNH ĐỦ MINH CHỨNG</t>
        </is>
      </c>
      <c r="J4" s="72">
        <f>IFERROR(COUNTIFS($G$6:$G$43,"Hoàn thành",$J$6:$J$43,"Đạt",$I$6:$I$43,"&lt;&gt;")/(COUNTIFS($A$6:$A$43,"&lt;&gt;",$G$6:$G$43,"&lt;&gt;Không áp dụng")),0)</f>
        <v/>
      </c>
      <c r="K4" s="73" t="inlineStr">
        <is>
          <t>Xem chi tiết tại 08_TongHopGV</t>
        </is>
      </c>
      <c r="L4" s="84" t="n"/>
      <c r="M4" s="84" t="n"/>
      <c r="N4" s="84" t="n"/>
      <c r="O4" s="84" t="n"/>
      <c r="P4" s="84" t="n"/>
      <c r="Q4" s="84" t="n"/>
    </row>
    <row r="5" ht="13.9" customHeight="1">
      <c r="A5" s="2" t="inlineStr">
        <is>
          <t>ID</t>
        </is>
      </c>
      <c r="B5" s="3" t="inlineStr">
        <is>
          <t>Nhóm</t>
        </is>
      </c>
      <c r="C5" s="3" t="inlineStr">
        <is>
          <t>Mức độ</t>
        </is>
      </c>
      <c r="D5" s="3" t="inlineStr">
        <is>
          <t>Yêu cầu cần chứng minh</t>
        </is>
      </c>
      <c r="E5" s="3" t="inlineStr">
        <is>
          <t>Minh chứng mong đợi</t>
        </is>
      </c>
      <c r="F5" s="3" t="inlineStr">
        <is>
          <t>Owner</t>
        </is>
      </c>
      <c r="G5" s="3" t="inlineStr">
        <is>
          <t>Trạng thái</t>
        </is>
      </c>
      <c r="H5" s="3" t="inlineStr">
        <is>
          <t>% HT</t>
        </is>
      </c>
      <c r="I5" s="3" t="inlineStr">
        <is>
          <t>Link/Path minh chứng</t>
        </is>
      </c>
      <c r="J5" s="3" t="inlineStr">
        <is>
          <t>Kết quả tự kiểm tra</t>
        </is>
      </c>
      <c r="K5" s="4" t="inlineStr">
        <is>
          <t>Ghi chú/lỗi còn lại</t>
        </is>
      </c>
      <c r="L5" s="84" t="n"/>
      <c r="M5" s="84" t="n"/>
      <c r="N5" s="84" t="n"/>
      <c r="O5" s="84" t="n"/>
      <c r="P5" s="84" t="n"/>
      <c r="Q5" s="84" t="n"/>
    </row>
    <row r="6" ht="26.25" customHeight="1">
      <c r="A6" s="18" t="inlineStr">
        <is>
          <t>BP01</t>
        </is>
      </c>
      <c r="B6" s="6" t="inlineStr">
        <is>
          <t>Blueprint</t>
        </is>
      </c>
      <c r="C6" s="6" t="inlineStr">
        <is>
          <t>Bắt buộc</t>
        </is>
      </c>
      <c r="D6" s="6" t="inlineStr">
        <is>
          <t>Tài liệu mô tả kiến trúc tổng thể, thành phần, giao tiếp, ảnh hưởng khi một phần lỗi.</t>
        </is>
      </c>
      <c r="E6" s="7" t="inlineStr">
        <is>
          <t>design.md/blueprint.pdf; lập luận lựa chọn kiến trúc</t>
        </is>
      </c>
      <c r="F6" s="25" t="inlineStr">
        <is>
          <t>Nguyễn Bảo An</t>
        </is>
      </c>
      <c r="G6" s="26" t="inlineStr">
        <is>
          <t>Hoàn thành</t>
        </is>
      </c>
      <c r="H6" s="39" t="n">
        <v>100</v>
      </c>
      <c r="I6" s="26" t="inlineStr">
        <is>
          <t>blueprint/design.md — Context + Decisions 1–12 (kiến trúc, giao tiếp, failure boundary)</t>
        </is>
      </c>
      <c r="J6" s="26" t="inlineStr">
        <is>
          <t>Đạt</t>
        </is>
      </c>
      <c r="K6" s="27" t="n"/>
      <c r="L6" s="84" t="n"/>
      <c r="M6" s="84" t="n"/>
      <c r="N6" s="84" t="n"/>
      <c r="O6" s="84" t="n"/>
      <c r="P6" s="84" t="n"/>
      <c r="Q6" s="84" t="n"/>
    </row>
    <row r="7" ht="13.9" customHeight="1">
      <c r="A7" s="40" t="inlineStr">
        <is>
          <t>BP02</t>
        </is>
      </c>
      <c r="B7" s="9" t="inlineStr">
        <is>
          <t>Blueprint</t>
        </is>
      </c>
      <c r="C7" s="9" t="inlineStr">
        <is>
          <t>Bắt buộc</t>
        </is>
      </c>
      <c r="D7" s="9" t="inlineStr">
        <is>
          <t>C4 Level 1 – System Context: actors và hệ thống ngoài.</t>
        </is>
      </c>
      <c r="E7" s="10" t="inlineStr">
        <is>
          <t>Sơ đồ + mô tả Khán giả, Ban tổ chức, Soát vé, VNPAY/MoMo, AI, CSV</t>
        </is>
      </c>
      <c r="F7" s="29" t="inlineStr">
        <is>
          <t>Nguyễn Bảo An</t>
        </is>
      </c>
      <c r="G7" s="30" t="inlineStr">
        <is>
          <t>Hoàn thành</t>
        </is>
      </c>
      <c r="H7" s="41" t="n">
        <v>100</v>
      </c>
      <c r="I7" s="30" t="inlineStr">
        <is>
          <t>blueprint/design.md — mục "C4 Level 1: System Context"</t>
        </is>
      </c>
      <c r="J7" s="30" t="inlineStr">
        <is>
          <t>Đạt</t>
        </is>
      </c>
      <c r="K7" s="31" t="n"/>
      <c r="L7" s="84" t="n"/>
      <c r="M7" s="84" t="n"/>
      <c r="N7" s="84" t="n"/>
      <c r="O7" s="84" t="n"/>
      <c r="P7" s="84" t="n"/>
      <c r="Q7" s="84" t="n"/>
    </row>
    <row r="8" ht="13.9" customHeight="1">
      <c r="A8" s="40" t="inlineStr">
        <is>
          <t>BP03</t>
        </is>
      </c>
      <c r="B8" s="9" t="inlineStr">
        <is>
          <t>Blueprint</t>
        </is>
      </c>
      <c r="C8" s="9" t="inlineStr">
        <is>
          <t>Bắt buộc</t>
        </is>
      </c>
      <c r="D8" s="9" t="inlineStr">
        <is>
          <t>C4 Level 2 – Container: web, mobile, backend, database, broker/cache...</t>
        </is>
      </c>
      <c r="E8" s="10" t="inlineStr">
        <is>
          <t>Sơ đồ có công nghệ và giao tiếp giữa container</t>
        </is>
      </c>
      <c r="F8" s="29" t="inlineStr">
        <is>
          <t>Nguyễn Bảo An</t>
        </is>
      </c>
      <c r="G8" s="30" t="inlineStr">
        <is>
          <t>Hoàn thành</t>
        </is>
      </c>
      <c r="H8" s="41" t="n">
        <v>100</v>
      </c>
      <c r="I8" s="30" t="inlineStr">
        <is>
          <t>blueprint/design.md — mục "C4 Level 2: Container"</t>
        </is>
      </c>
      <c r="J8" s="30" t="inlineStr">
        <is>
          <t>Đạt</t>
        </is>
      </c>
      <c r="K8" s="31" t="n"/>
      <c r="L8" s="84" t="n"/>
      <c r="M8" s="84" t="n"/>
      <c r="N8" s="84" t="n"/>
      <c r="O8" s="84" t="n"/>
      <c r="P8" s="84" t="n"/>
      <c r="Q8" s="84" t="n"/>
    </row>
    <row r="9" ht="13.9" customHeight="1">
      <c r="A9" s="40" t="inlineStr">
        <is>
          <t>BP04</t>
        </is>
      </c>
      <c r="B9" s="9" t="inlineStr">
        <is>
          <t>Blueprint</t>
        </is>
      </c>
      <c r="C9" s="9" t="inlineStr">
        <is>
          <t>Bắt buộc</t>
        </is>
      </c>
      <c r="D9" s="9" t="inlineStr">
        <is>
          <t>High-Level Architecture Diagram, nhấn mạnh payment, AI, CSV và offline check-in.</t>
        </is>
      </c>
      <c r="E9" s="10" t="inlineStr">
        <is>
          <t>Sơ đồ luồng dữ liệu/phụ thuộc và failure boundary</t>
        </is>
      </c>
      <c r="F9" s="29" t="inlineStr">
        <is>
          <t>Nguyễn Bảo An</t>
        </is>
      </c>
      <c r="G9" s="30" t="inlineStr">
        <is>
          <t>Hoàn thành</t>
        </is>
      </c>
      <c r="H9" s="41" t="n">
        <v>100</v>
      </c>
      <c r="I9" s="30" t="inlineStr">
        <is>
          <t>blueprint/design.md — mục "High-Level Architecture Flow" (sơ đồ mermaid)</t>
        </is>
      </c>
      <c r="J9" s="30" t="inlineStr">
        <is>
          <t>Đạt</t>
        </is>
      </c>
      <c r="K9" s="31" t="n"/>
      <c r="L9" s="84" t="n"/>
      <c r="M9" s="84" t="n"/>
      <c r="N9" s="84" t="n"/>
      <c r="O9" s="84" t="n"/>
      <c r="P9" s="84" t="n"/>
      <c r="Q9" s="84" t="n"/>
    </row>
    <row r="10" ht="13.9" customHeight="1">
      <c r="A10" s="40" t="inlineStr">
        <is>
          <t>BP05</t>
        </is>
      </c>
      <c r="B10" s="9" t="inlineStr">
        <is>
          <t>Blueprint</t>
        </is>
      </c>
      <c r="C10" s="9" t="inlineStr">
        <is>
          <t>Bắt buộc</t>
        </is>
      </c>
      <c r="D10" s="9" t="inlineStr">
        <is>
          <t>Thiết kế dữ liệu: SQL/NoSQL/kết hợp và schema entity quan trọng.</t>
        </is>
      </c>
      <c r="E10" s="10" t="inlineStr">
        <is>
          <t>ERD/schema + giải thích lựa chọn và consistency</t>
        </is>
      </c>
      <c r="F10" s="29" t="inlineStr">
        <is>
          <t>Nguyễn Bảo An</t>
        </is>
      </c>
      <c r="G10" s="30" t="inlineStr">
        <is>
          <t>Hoàn thành</t>
        </is>
      </c>
      <c r="H10" s="41" t="n">
        <v>100</v>
      </c>
      <c r="I10" s="30" t="inlineStr">
        <is>
          <t>blueprint/design.md — mục "Database Design"; prisma/schema.prisma</t>
        </is>
      </c>
      <c r="J10" s="30" t="inlineStr">
        <is>
          <t>Đạt</t>
        </is>
      </c>
      <c r="K10" s="31" t="n"/>
      <c r="L10" s="84" t="n"/>
      <c r="M10" s="84" t="n"/>
      <c r="N10" s="84" t="n"/>
      <c r="O10" s="84" t="n"/>
      <c r="P10" s="84" t="n"/>
      <c r="Q10" s="84" t="n"/>
    </row>
    <row r="11" ht="13.9" customHeight="1">
      <c r="A11" s="40" t="inlineStr">
        <is>
          <t>BP06</t>
        </is>
      </c>
      <c r="B11" s="9" t="inlineStr">
        <is>
          <t>Blueprint</t>
        </is>
      </c>
      <c r="C11" s="9" t="inlineStr">
        <is>
          <t>Chọn ít nhất 2 luồng</t>
        </is>
      </c>
      <c r="D11" s="9" t="inlineStr">
        <is>
          <t>Luồng mua vé từ bấm mua đến nhận e-ticket; có xử lý lỗi giữa chừng.</t>
        </is>
      </c>
      <c r="E11" s="10" t="inlineStr">
        <is>
          <t>Sequence/activity diagram hoặc mô tả bước + lỗi</t>
        </is>
      </c>
      <c r="F11" s="29" t="inlineStr">
        <is>
          <t>Nguyễn Bảo An</t>
        </is>
      </c>
      <c r="G11" s="30" t="inlineStr">
        <is>
          <t>Hoàn thành</t>
        </is>
      </c>
      <c r="H11" s="41" t="n">
        <v>100</v>
      </c>
      <c r="I11" s="30" t="inlineStr">
        <is>
          <t>blueprint/design.md — "Ticket purchase from buy click to e-ticket" (gồm xử lý lỗi giữa chừng)</t>
        </is>
      </c>
      <c r="J11" s="30" t="inlineStr">
        <is>
          <t>Đạt</t>
        </is>
      </c>
      <c r="K11" s="31" t="n"/>
      <c r="L11" s="84" t="n"/>
      <c r="M11" s="84" t="n"/>
      <c r="N11" s="84" t="n"/>
      <c r="O11" s="84" t="n"/>
      <c r="P11" s="84" t="n"/>
      <c r="Q11" s="84" t="n"/>
    </row>
    <row r="12" ht="13.9" customHeight="1">
      <c r="A12" s="40" t="inlineStr">
        <is>
          <t>BP07</t>
        </is>
      </c>
      <c r="B12" s="9" t="inlineStr">
        <is>
          <t>Blueprint</t>
        </is>
      </c>
      <c r="C12" s="9" t="inlineStr">
        <is>
          <t>Chọn ít nhất 2 luồng</t>
        </is>
      </c>
      <c r="D12" s="9" t="inlineStr">
        <is>
          <t>Luồng soát vé mất mạng và đồng bộ lại; tránh vé vào hai lần.</t>
        </is>
      </c>
      <c r="E12" s="10" t="inlineStr">
        <is>
          <t>Sequence/state diagram + conflict handling</t>
        </is>
      </c>
      <c r="F12" s="29" t="inlineStr">
        <is>
          <t>Nguyễn Lê Thế Vinh</t>
        </is>
      </c>
      <c r="G12" s="30" t="inlineStr">
        <is>
          <t>Hoàn thành</t>
        </is>
      </c>
      <c r="H12" s="41" t="n">
        <v>100</v>
      </c>
      <c r="I12" s="30" t="inlineStr">
        <is>
          <t>blueprint/design.md — "Offline check-in and sync"; docs/manual-tests/checkin-offline-sync.md</t>
        </is>
      </c>
      <c r="J12" s="30" t="inlineStr">
        <is>
          <t>Đạt</t>
        </is>
      </c>
      <c r="K12" s="31" t="n"/>
      <c r="L12" s="84" t="n"/>
      <c r="M12" s="84" t="n"/>
      <c r="N12" s="84" t="n"/>
      <c r="O12" s="84" t="n"/>
      <c r="P12" s="84" t="n"/>
      <c r="Q12" s="84" t="n"/>
    </row>
    <row r="13" ht="13.9" customHeight="1">
      <c r="A13" s="40" t="inlineStr">
        <is>
          <t>BP08</t>
        </is>
      </c>
      <c r="B13" s="9" t="inlineStr">
        <is>
          <t>Blueprint</t>
        </is>
      </c>
      <c r="C13" s="9" t="inlineStr">
        <is>
          <t>Chọn ít nhất 2 luồng</t>
        </is>
      </c>
      <c r="D13" s="9" t="inlineStr">
        <is>
          <t>Luồng nhập Guest List CSV; xử lý file lỗi và dữ liệu trùng.</t>
        </is>
      </c>
      <c r="E13" s="10" t="inlineStr">
        <is>
          <t>Flow + validation + idempotent import</t>
        </is>
      </c>
      <c r="F13" s="29" t="inlineStr">
        <is>
          <t>Nguyễn Lê Thế Vinh</t>
        </is>
      </c>
      <c r="G13" s="30" t="inlineStr">
        <is>
          <t>Hoàn thành</t>
        </is>
      </c>
      <c r="H13" s="41" t="n">
        <v>100</v>
      </c>
      <c r="I13" s="30" t="inlineStr">
        <is>
          <t>blueprint/design.md — "Guest list CSV import"; docs/manual-tests/guest-list-import.md</t>
        </is>
      </c>
      <c r="J13" s="30" t="inlineStr">
        <is>
          <t>Đạt</t>
        </is>
      </c>
      <c r="K13" s="31" t="n"/>
      <c r="L13" s="84" t="n"/>
      <c r="M13" s="84" t="n"/>
      <c r="N13" s="84" t="n"/>
      <c r="O13" s="84" t="n"/>
      <c r="P13" s="84" t="n"/>
      <c r="Q13" s="84" t="n"/>
    </row>
    <row r="14" ht="13.9" customHeight="1">
      <c r="A14" s="40" t="inlineStr">
        <is>
          <t>BP09</t>
        </is>
      </c>
      <c r="B14" s="9" t="inlineStr">
        <is>
          <t>Blueprint</t>
        </is>
      </c>
      <c r="C14" s="9" t="inlineStr">
        <is>
          <t>Bắt buộc</t>
        </is>
      </c>
      <c r="D14" s="9" t="inlineStr">
        <is>
          <t>Thiết kế kiểm soát truy cập cho Khán giả, Ban tổ chức, Nhân sự soát vé.</t>
        </is>
      </c>
      <c r="E14" s="10" t="inlineStr">
        <is>
          <t>Role-permission matrix + enforcement tại endpoint/UI/app</t>
        </is>
      </c>
      <c r="F14" s="29" t="inlineStr">
        <is>
          <t>Nguyễn Bảo An</t>
        </is>
      </c>
      <c r="G14" s="30" t="inlineStr">
        <is>
          <t>Hoàn thành</t>
        </is>
      </c>
      <c r="H14" s="41" t="n">
        <v>100</v>
      </c>
      <c r="I14" s="30" t="inlineStr">
        <is>
          <t>blueprint/design.md — "Access Control Design" (4 role + 5 enforcement point)</t>
        </is>
      </c>
      <c r="J14" s="30" t="inlineStr">
        <is>
          <t>Đạt</t>
        </is>
      </c>
      <c r="K14" s="31" t="n"/>
      <c r="L14" s="84" t="n"/>
      <c r="M14" s="84" t="n"/>
      <c r="N14" s="84" t="n"/>
      <c r="O14" s="84" t="n"/>
      <c r="P14" s="84" t="n"/>
      <c r="Q14" s="84" t="n"/>
    </row>
    <row r="15" ht="26.25" customHeight="1">
      <c r="A15" s="40" t="inlineStr">
        <is>
          <t>BP10</t>
        </is>
      </c>
      <c r="B15" s="9" t="inlineStr">
        <is>
          <t>Blueprint</t>
        </is>
      </c>
      <c r="C15" s="9" t="inlineStr">
        <is>
          <t>Bắt buộc</t>
        </is>
      </c>
      <c r="D15" s="9" t="inlineStr">
        <is>
          <t>Giải pháp tải đột biến/rate limiting cho 80.000 người trong 5 phút, 70% ở phút đầu.</t>
        </is>
      </c>
      <c r="E15" s="10" t="inlineStr">
        <is>
          <t>Thuật toán, ngưỡng, key giới hạn, hành vi khi vượt ngưỡng</t>
        </is>
      </c>
      <c r="F15" s="29" t="inlineStr">
        <is>
          <t>Trương Nhật Đạt</t>
        </is>
      </c>
      <c r="G15" s="30" t="inlineStr">
        <is>
          <t>Hoàn thành</t>
        </is>
      </c>
      <c r="H15" s="41" t="n">
        <v>100</v>
      </c>
      <c r="I15" s="30" t="inlineStr">
        <is>
          <t>blueprint/design.md — Decision 7: token bucket rate limiting (ngưỡng, key, hành vi khi vượt)</t>
        </is>
      </c>
      <c r="J15" s="30" t="inlineStr">
        <is>
          <t>Đạt</t>
        </is>
      </c>
      <c r="K15" s="31" t="n"/>
      <c r="L15" s="84" t="n"/>
      <c r="M15" s="84" t="n"/>
      <c r="N15" s="84" t="n"/>
      <c r="O15" s="84" t="n"/>
      <c r="P15" s="84" t="n"/>
      <c r="Q15" s="84" t="n"/>
    </row>
    <row r="16" ht="13.9" customHeight="1">
      <c r="A16" s="40" t="inlineStr">
        <is>
          <t>BP11</t>
        </is>
      </c>
      <c r="B16" s="9" t="inlineStr">
        <is>
          <t>Blueprint</t>
        </is>
      </c>
      <c r="C16" s="9" t="inlineStr">
        <is>
          <t>Bắt buộc</t>
        </is>
      </c>
      <c r="D16" s="9" t="inlineStr">
        <is>
          <t>Circuit Breaker + Graceful Degradation khi VNPAY/MoMo lỗi.</t>
        </is>
      </c>
      <c r="E16" s="10" t="inlineStr">
        <is>
          <t>Closed/Open/Half-Open, threshold, fallback</t>
        </is>
      </c>
      <c r="F16" s="29" t="inlineStr">
        <is>
          <t>Trương Nhật Đạt</t>
        </is>
      </c>
      <c r="G16" s="30" t="inlineStr">
        <is>
          <t>Hoàn thành</t>
        </is>
      </c>
      <c r="H16" s="41" t="n">
        <v>100</v>
      </c>
      <c r="I16" s="30" t="inlineStr">
        <is>
          <t>blueprint/design.md — Decision 5: circuit breaker + graceful degradation</t>
        </is>
      </c>
      <c r="J16" s="30" t="inlineStr">
        <is>
          <t>Đạt</t>
        </is>
      </c>
      <c r="K16" s="31" t="n"/>
      <c r="L16" s="84" t="n"/>
      <c r="M16" s="84" t="n"/>
      <c r="N16" s="84" t="n"/>
      <c r="O16" s="84" t="n"/>
      <c r="P16" s="84" t="n"/>
      <c r="Q16" s="84" t="n"/>
    </row>
    <row r="17" ht="13.9" customHeight="1">
      <c r="A17" s="40" t="inlineStr">
        <is>
          <t>BP12</t>
        </is>
      </c>
      <c r="B17" s="9" t="inlineStr">
        <is>
          <t>Blueprint</t>
        </is>
      </c>
      <c r="C17" s="9" t="inlineStr">
        <is>
          <t>Bắt buộc</t>
        </is>
      </c>
      <c r="D17" s="9" t="inlineStr">
        <is>
          <t>Idempotency Key chống trừ tiền hai lần.</t>
        </is>
      </c>
      <c r="E17" s="10" t="inlineStr">
        <is>
          <t>Cách sinh/lưu/check key, TTL, response khi lặp</t>
        </is>
      </c>
      <c r="F17" s="29" t="inlineStr">
        <is>
          <t>Trương Nhật Đạt</t>
        </is>
      </c>
      <c r="G17" s="30" t="inlineStr">
        <is>
          <t>Hoàn thành</t>
        </is>
      </c>
      <c r="H17" s="41" t="n">
        <v>100</v>
      </c>
      <c r="I17" s="30" t="inlineStr">
        <is>
          <t>blueprint/design.md — Decision 4: idempotent payment lifecycle (key, TTL, response khi lặp)</t>
        </is>
      </c>
      <c r="J17" s="30" t="inlineStr">
        <is>
          <t>Đạt</t>
        </is>
      </c>
      <c r="K17" s="31" t="n"/>
      <c r="L17" s="84" t="n"/>
      <c r="M17" s="84" t="n"/>
      <c r="N17" s="84" t="n"/>
      <c r="O17" s="84" t="n"/>
      <c r="P17" s="84" t="n"/>
      <c r="Q17" s="84" t="n"/>
    </row>
    <row r="18" ht="13.9" customHeight="1">
      <c r="A18" s="40" t="inlineStr">
        <is>
          <t>BP13</t>
        </is>
      </c>
      <c r="B18" s="9" t="inlineStr">
        <is>
          <t>Blueprint</t>
        </is>
      </c>
      <c r="C18" s="9" t="inlineStr">
        <is>
          <t>Bắt buộc</t>
        </is>
      </c>
      <c r="D18" s="9" t="inlineStr">
        <is>
          <t>Caching cho danh sách/chi tiết concert và số vé còn lại.</t>
        </is>
      </c>
      <c r="E18" s="10" t="inlineStr">
        <is>
          <t>Cache-aside, TTL từng loại, invalidation</t>
        </is>
      </c>
      <c r="F18" s="29" t="inlineStr">
        <is>
          <t>Phạm Quang Vinh</t>
        </is>
      </c>
      <c r="G18" s="30" t="inlineStr">
        <is>
          <t>Hoàn thành</t>
        </is>
      </c>
      <c r="H18" s="41" t="n">
        <v>100</v>
      </c>
      <c r="I18" s="30" t="inlineStr">
        <is>
          <t>blueprint/design.md — Decision 6: cache-aside + active invalidation, TTL từng loại</t>
        </is>
      </c>
      <c r="J18" s="30" t="inlineStr">
        <is>
          <t>Đạt</t>
        </is>
      </c>
      <c r="K18" s="31" t="n"/>
      <c r="L18" s="84" t="n"/>
      <c r="M18" s="84" t="n"/>
      <c r="N18" s="84" t="n"/>
      <c r="O18" s="84" t="n"/>
      <c r="P18" s="84" t="n"/>
      <c r="Q18" s="84" t="n"/>
    </row>
    <row r="19" ht="13.9" customHeight="1">
      <c r="A19" s="40" t="inlineStr">
        <is>
          <t>BP14</t>
        </is>
      </c>
      <c r="B19" s="9" t="inlineStr">
        <is>
          <t>Blueprint</t>
        </is>
      </c>
      <c r="C19" s="9" t="inlineStr">
        <is>
          <t>Khuyến nghị</t>
        </is>
      </c>
      <c r="D19" s="9" t="inlineStr">
        <is>
          <t>ADR cho các quyết định lớn và đánh đổi.</t>
        </is>
      </c>
      <c r="E19" s="10" t="inlineStr">
        <is>
          <t>ADR SQL/NoSQL, JWT/session, broker, locking...</t>
        </is>
      </c>
      <c r="F19" s="29" t="inlineStr">
        <is>
          <t>Nguyễn Bảo An</t>
        </is>
      </c>
      <c r="G19" s="30" t="inlineStr">
        <is>
          <t>Hoàn thành</t>
        </is>
      </c>
      <c r="H19" s="41" t="n">
        <v>100</v>
      </c>
      <c r="I19" s="30" t="inlineStr">
        <is>
          <t>blueprint/design.md — Decisions 1–12; DECISIONS.md</t>
        </is>
      </c>
      <c r="J19" s="30" t="inlineStr">
        <is>
          <t>Đạt</t>
        </is>
      </c>
      <c r="K19" s="31" t="n"/>
      <c r="L19" s="84" t="n"/>
      <c r="M19" s="84" t="n"/>
      <c r="N19" s="84" t="n"/>
      <c r="O19" s="84" t="n"/>
      <c r="P19" s="84" t="n"/>
      <c r="Q19" s="84" t="n"/>
    </row>
    <row r="20" ht="26.25" customHeight="1">
      <c r="A20" s="40" t="inlineStr">
        <is>
          <t>BP15</t>
        </is>
      </c>
      <c r="B20" s="9" t="inlineStr">
        <is>
          <t>Blueprint</t>
        </is>
      </c>
      <c r="C20" s="9" t="inlineStr">
        <is>
          <t>Bắt buộc</t>
        </is>
      </c>
      <c r="D20" s="9" t="inlineStr">
        <is>
          <t>Tổ chức proposal.md, design.md và specs/[feature].md hoặc blueprint.pdf tương đương.</t>
        </is>
      </c>
      <c r="E20" s="10" t="inlineStr">
        <is>
          <t>Cấu trúc file đầy đủ, acceptance criteria và error scenarios</t>
        </is>
      </c>
      <c r="F20" s="29" t="inlineStr">
        <is>
          <t>Nguyễn Bảo An</t>
        </is>
      </c>
      <c r="G20" s="30" t="inlineStr">
        <is>
          <t>Hoàn thành</t>
        </is>
      </c>
      <c r="H20" s="41" t="n">
        <v>100</v>
      </c>
      <c r="I20" s="30" t="inlineStr">
        <is>
          <t>blueprint/proposal.md + blueprint/design.md + blueprint/specs/ (70+ capability, có acceptance criteria)</t>
        </is>
      </c>
      <c r="J20" s="30" t="inlineStr">
        <is>
          <t>Đạt</t>
        </is>
      </c>
      <c r="K20" s="31" t="n"/>
      <c r="L20" s="84" t="n"/>
      <c r="M20" s="84" t="n"/>
      <c r="N20" s="84" t="n"/>
      <c r="O20" s="84" t="n"/>
      <c r="P20" s="84" t="n"/>
      <c r="Q20" s="84" t="n"/>
    </row>
    <row r="21" ht="26.25" customHeight="1">
      <c r="A21" s="40" t="inlineStr">
        <is>
          <t>IM01</t>
        </is>
      </c>
      <c r="B21" s="9" t="inlineStr">
        <is>
          <t>Cài đặt</t>
        </is>
      </c>
      <c r="C21" s="9" t="inlineStr">
        <is>
          <t>Bắt buộc</t>
        </is>
      </c>
      <c r="D21" s="9" t="inlineStr">
        <is>
          <t>Xem danh sách/chi tiết concert, nghệ sĩ, địa điểm, sơ đồ SVG theo khu và vé còn lại.</t>
        </is>
      </c>
      <c r="E21" s="10" t="inlineStr">
        <is>
          <t>Demo UI + API + dữ liệu thật/seed</t>
        </is>
      </c>
      <c r="F21" s="29" t="inlineStr">
        <is>
          <t>Nguyễn Bảo An</t>
        </is>
      </c>
      <c r="G21" s="30" t="inlineStr">
        <is>
          <t>Hoàn thành</t>
        </is>
      </c>
      <c r="H21" s="41" t="n">
        <v>100</v>
      </c>
      <c r="I21" s="30" t="inlineStr">
        <is>
          <t>apps/audience-web/src/features/concerts/ (SeatingZoneMap.tsx — SVG theo khu); packages/backend/src/concert-management/</t>
        </is>
      </c>
      <c r="J21" s="30" t="inlineStr">
        <is>
          <t>Đạt</t>
        </is>
      </c>
      <c r="K21" s="31" t="n"/>
      <c r="L21" s="84" t="n"/>
      <c r="M21" s="84" t="n"/>
      <c r="N21" s="84" t="n"/>
      <c r="O21" s="84" t="n"/>
      <c r="P21" s="84" t="n"/>
      <c r="Q21" s="84" t="n"/>
    </row>
    <row r="22" ht="13.9" customHeight="1">
      <c r="A22" s="40" t="inlineStr">
        <is>
          <t>IM02</t>
        </is>
      </c>
      <c r="B22" s="9" t="inlineStr">
        <is>
          <t>Cài đặt</t>
        </is>
      </c>
      <c r="C22" s="9" t="inlineStr">
        <is>
          <t>Bắt buộc</t>
        </is>
      </c>
      <c r="D22" s="9" t="inlineStr">
        <is>
          <t>Chọn loại/số lượng vé, thanh toán và sinh e-ticket QR.</t>
        </is>
      </c>
      <c r="E22" s="10" t="inlineStr">
        <is>
          <t>Demo end-to-end + order/payment/ticket records</t>
        </is>
      </c>
      <c r="F22" s="29" t="inlineStr">
        <is>
          <t>Nguyễn Bảo An</t>
        </is>
      </c>
      <c r="G22" s="30" t="inlineStr">
        <is>
          <t>Hoàn thành</t>
        </is>
      </c>
      <c r="H22" s="41" t="n">
        <v>100</v>
      </c>
      <c r="I22" s="30" t="inlineStr">
        <is>
          <t>apps/audience-web/src/features/checkout/; packages/backend/src/ordering/; packages/backend/src/checkin/infrastructure/qr/sha256-qr-token-hasher.ts</t>
        </is>
      </c>
      <c r="J22" s="30" t="inlineStr">
        <is>
          <t>Đạt</t>
        </is>
      </c>
      <c r="K22" s="31" t="n"/>
      <c r="L22" s="84" t="n"/>
      <c r="M22" s="84" t="n"/>
      <c r="N22" s="84" t="n"/>
      <c r="O22" s="84" t="n"/>
      <c r="P22" s="84" t="n"/>
      <c r="Q22" s="84" t="n"/>
    </row>
    <row r="23" ht="26.25" customHeight="1">
      <c r="A23" s="40" t="inlineStr">
        <is>
          <t>IM03</t>
        </is>
      </c>
      <c r="B23" s="9" t="inlineStr">
        <is>
          <t>Cài đặt</t>
        </is>
      </c>
      <c r="C23" s="9" t="inlineStr">
        <is>
          <t>Bắt buộc</t>
        </is>
      </c>
      <c r="D23" s="9" t="inlineStr">
        <is>
          <t>Enforce giới hạn vé/tài khoản trên toàn bộ đơn thành công, kể cả request đồng thời.</t>
        </is>
      </c>
      <c r="E23" s="10" t="inlineStr">
        <is>
          <t>Test concurrent + constraint/transaction/lock</t>
        </is>
      </c>
      <c r="F23" s="29" t="inlineStr">
        <is>
          <t>Trương Nhật Đạt</t>
        </is>
      </c>
      <c r="G23" s="30" t="inlineStr">
        <is>
          <t>Hoàn thành</t>
        </is>
      </c>
      <c r="H23" s="41" t="n">
        <v>100</v>
      </c>
      <c r="I23" s="30" t="inlineStr">
        <is>
          <t>packages/backend/src/ordering/infrastructure/database/prisma-inventory-reservation.repository.spec.ts — test "prevents concurrent same-user reservations from bypassing max per user after the row lock" (29/29 pass)</t>
        </is>
      </c>
      <c r="J23" s="30" t="inlineStr">
        <is>
          <t>Đạt</t>
        </is>
      </c>
      <c r="K23" s="31" t="n"/>
      <c r="L23" s="84" t="n"/>
      <c r="M23" s="84" t="n"/>
      <c r="N23" s="84" t="n"/>
      <c r="O23" s="84" t="n"/>
      <c r="P23" s="84" t="n"/>
      <c r="Q23" s="84" t="n"/>
    </row>
    <row r="24" ht="13.9" customHeight="1">
      <c r="A24" s="40" t="inlineStr">
        <is>
          <t>IM04</t>
        </is>
      </c>
      <c r="B24" s="9" t="inlineStr">
        <is>
          <t>Cài đặt</t>
        </is>
      </c>
      <c r="C24" s="9" t="inlineStr">
        <is>
          <t>Bắt buộc</t>
        </is>
      </c>
      <c r="D24" s="9" t="inlineStr">
        <is>
          <t>Thông báo app/email sau mua và nhắc trước 24 giờ; dễ thêm kênh mới.</t>
        </is>
      </c>
      <c r="E24" s="10" t="inlineStr">
        <is>
          <t>Code notification abstraction + scheduler/job + demo</t>
        </is>
      </c>
      <c r="F24" s="29" t="inlineStr">
        <is>
          <t>Nguyễn Lê Thế Vinh</t>
        </is>
      </c>
      <c r="G24" s="30" t="inlineStr">
        <is>
          <t>Hoàn thành</t>
        </is>
      </c>
      <c r="H24" s="41" t="n">
        <v>100</v>
      </c>
      <c r="I24" s="30" t="inlineStr">
        <is>
          <t>packages/backend/src/notification/ — concert-reminder.processor.ts, send-concert-reminders.use-case.ts; docs/manual-tests/concert-reminders.md</t>
        </is>
      </c>
      <c r="J24" s="30" t="inlineStr">
        <is>
          <t>Đạt</t>
        </is>
      </c>
      <c r="K24" s="31" t="inlineStr">
        <is>
          <t>Thêm kênh mới qua NotificationChannel port, không sửa logic mua vé.</t>
        </is>
      </c>
      <c r="L24" s="84" t="n"/>
      <c r="M24" s="84" t="n"/>
      <c r="N24" s="84" t="n"/>
      <c r="O24" s="84" t="n"/>
      <c r="P24" s="84" t="n"/>
      <c r="Q24" s="84" t="n"/>
    </row>
    <row r="25" ht="13.9" customHeight="1">
      <c r="A25" s="40" t="inlineStr">
        <is>
          <t>IM05</t>
        </is>
      </c>
      <c r="B25" s="9" t="inlineStr">
        <is>
          <t>Cài đặt</t>
        </is>
      </c>
      <c r="C25" s="9" t="inlineStr">
        <is>
          <t>Bắt buộc</t>
        </is>
      </c>
      <c r="D25" s="9" t="inlineStr">
        <is>
          <t>Admin tạo/sửa/hủy concert, cấu hình loại vé và xem doanh thu/lượng bán.</t>
        </is>
      </c>
      <c r="E25" s="10" t="inlineStr">
        <is>
          <t>Demo role admin + API/UI + dữ liệu thống kê</t>
        </is>
      </c>
      <c r="F25" s="29" t="inlineStr">
        <is>
          <t>Phạm Quang Vinh</t>
        </is>
      </c>
      <c r="G25" s="30" t="inlineStr">
        <is>
          <t>Hoàn thành</t>
        </is>
      </c>
      <c r="H25" s="41" t="n">
        <v>100</v>
      </c>
      <c r="I25" s="30" t="inlineStr">
        <is>
          <t>apps/web/src/features/admin/ + apps/web/src/features/organizer/; packages/backend/src/concert-management/</t>
        </is>
      </c>
      <c r="J25" s="30" t="inlineStr">
        <is>
          <t>Đạt</t>
        </is>
      </c>
      <c r="K25" s="31" t="n"/>
      <c r="L25" s="84" t="n"/>
      <c r="M25" s="84" t="n"/>
      <c r="N25" s="84" t="n"/>
      <c r="O25" s="84" t="n"/>
      <c r="P25" s="84" t="n"/>
      <c r="Q25" s="84" t="n"/>
    </row>
    <row r="26" ht="13.9" customHeight="1">
      <c r="A26" s="40" t="inlineStr">
        <is>
          <t>IM06</t>
        </is>
      </c>
      <c r="B26" s="9" t="inlineStr">
        <is>
          <t>Cài đặt</t>
        </is>
      </c>
      <c r="C26" s="9" t="inlineStr">
        <is>
          <t>Bắt buộc</t>
        </is>
      </c>
      <c r="D26" s="9" t="inlineStr">
        <is>
          <t>RBAC được cài thật ở API, trang admin và app soát vé.</t>
        </is>
      </c>
      <c r="E26" s="10" t="inlineStr">
        <is>
          <t>Middleware/policy + test quyền sai/đúng</t>
        </is>
      </c>
      <c r="F26" s="29" t="inlineStr">
        <is>
          <t>Nguyễn Bảo An</t>
        </is>
      </c>
      <c r="G26" s="30" t="inlineStr">
        <is>
          <t>Hoàn thành</t>
        </is>
      </c>
      <c r="H26" s="41" t="n">
        <v>100</v>
      </c>
      <c r="I26" s="30" t="inlineStr">
        <is>
          <t>packages/backend/src/identity/adapters/http/guards/roles.guard.ts + roles.guard.spec.ts (pass)</t>
        </is>
      </c>
      <c r="J26" s="30" t="inlineStr">
        <is>
          <t>Đạt</t>
        </is>
      </c>
      <c r="K26" s="31" t="n"/>
      <c r="L26" s="84" t="n"/>
      <c r="M26" s="84" t="n"/>
      <c r="N26" s="84" t="n"/>
      <c r="O26" s="84" t="n"/>
      <c r="P26" s="84" t="n"/>
      <c r="Q26" s="84" t="n"/>
    </row>
    <row r="27" ht="13.9" customHeight="1">
      <c r="A27" s="40" t="inlineStr">
        <is>
          <t>IM07</t>
        </is>
      </c>
      <c r="B27" s="9" t="inlineStr">
        <is>
          <t>Cài đặt</t>
        </is>
      </c>
      <c r="C27" s="9" t="inlineStr">
        <is>
          <t>Bắt buộc</t>
        </is>
      </c>
      <c r="D27" s="9" t="inlineStr">
        <is>
          <t>Mobile app quét QR và xác nhận vé tại cổng.</t>
        </is>
      </c>
      <c r="E27" s="10" t="inlineStr">
        <is>
          <t>Demo scan + validation + check-in record</t>
        </is>
      </c>
      <c r="F27" s="29" t="inlineStr">
        <is>
          <t>Nguyễn Lê Thế Vinh</t>
        </is>
      </c>
      <c r="G27" s="30" t="inlineStr">
        <is>
          <t>Hoàn thành</t>
        </is>
      </c>
      <c r="H27" s="41" t="n">
        <v>100</v>
      </c>
      <c r="I27" s="30" t="inlineStr">
        <is>
          <t>apps/checkin-mobile/src/features/scanner/ (ScannerScreen.tsx, QrCameraScanner.tsx); docs/manual-tests/checkin-mobile-app.md — 77/77 test pass</t>
        </is>
      </c>
      <c r="J27" s="30" t="inlineStr">
        <is>
          <t>Đạt</t>
        </is>
      </c>
      <c r="K27" s="31" t="n"/>
      <c r="L27" s="84" t="n"/>
      <c r="M27" s="84" t="n"/>
      <c r="N27" s="84" t="n"/>
      <c r="O27" s="84" t="n"/>
      <c r="P27" s="84" t="n"/>
      <c r="Q27" s="84" t="n"/>
    </row>
    <row r="28" ht="26.25" customHeight="1">
      <c r="A28" s="40" t="inlineStr">
        <is>
          <t>IM08</t>
        </is>
      </c>
      <c r="B28" s="9" t="inlineStr">
        <is>
          <t>Cài đặt</t>
        </is>
      </c>
      <c r="C28" s="9" t="inlineStr">
        <is>
          <t>Bắt buộc</t>
        </is>
      </c>
      <c r="D28" s="9" t="inlineStr">
        <is>
          <t>Soát vé offline, lưu tạm, đồng bộ khi có mạng, không mất dữ liệu/không vào hai lần.</t>
        </is>
      </c>
      <c r="E28" s="10" t="inlineStr">
        <is>
          <t>Demo bật/tắt mạng + sync/conflict test</t>
        </is>
      </c>
      <c r="F28" s="29" t="inlineStr">
        <is>
          <t>Nguyễn Lê Thế Vinh</t>
        </is>
      </c>
      <c r="G28" s="30" t="inlineStr">
        <is>
          <t>Hoàn thành</t>
        </is>
      </c>
      <c r="H28" s="41" t="n">
        <v>100</v>
      </c>
      <c r="I28" s="30" t="inlineStr">
        <is>
          <t>apps/checkin-mobile/src/features/offline-queue/; packages/backend/src/checkin/application/use-cases/batch-sync.use-case.ts + .spec.ts; docs/manual-tests/checkin-offline-sync.md</t>
        </is>
      </c>
      <c r="J28" s="30" t="inlineStr">
        <is>
          <t>Đạt</t>
        </is>
      </c>
      <c r="K28" s="31" t="n"/>
      <c r="L28" s="84" t="n"/>
      <c r="M28" s="84" t="n"/>
      <c r="N28" s="84" t="n"/>
      <c r="O28" s="84" t="n"/>
      <c r="P28" s="84" t="n"/>
      <c r="Q28" s="84" t="n"/>
    </row>
    <row r="29" ht="13.9" customHeight="1">
      <c r="A29" s="40" t="inlineStr">
        <is>
          <t>IM09</t>
        </is>
      </c>
      <c r="B29" s="9" t="inlineStr">
        <is>
          <t>Cài đặt</t>
        </is>
      </c>
      <c r="C29" s="9" t="inlineStr">
        <is>
          <t>Bắt buộc</t>
        </is>
      </c>
      <c r="D29" s="9" t="inlineStr">
        <is>
          <t>AI Artist Bio: upload PDF, tách/làm sạch text, gọi AI và tạo bio ngắn.</t>
        </is>
      </c>
      <c r="E29" s="10" t="inlineStr">
        <is>
          <t>PDF mẫu + pipeline + output + xử lý lỗi</t>
        </is>
      </c>
      <c r="F29" s="29" t="inlineStr">
        <is>
          <t>Nguyễn Lê Thế Vinh</t>
        </is>
      </c>
      <c r="G29" s="30" t="inlineStr">
        <is>
          <t>Hoàn thành</t>
        </is>
      </c>
      <c r="H29" s="41" t="n">
        <v>100</v>
      </c>
      <c r="I29" s="30" t="inlineStr">
        <is>
          <t>packages/backend/src/ai-artist-bio/ (gemini-artist-bio-generator.adapter.ts, simple-pdf-text-extractor.ts, artist-bio.processor.ts); apps/web/src/features/artist-bio/ArtistBioPanel.tsx; docs/manual-tests/ai-artist-bio.md</t>
        </is>
      </c>
      <c r="J29" s="30" t="inlineStr">
        <is>
          <t>Đạt</t>
        </is>
      </c>
      <c r="K29" s="31" t="n"/>
      <c r="L29" s="84" t="n"/>
      <c r="M29" s="84" t="n"/>
      <c r="N29" s="84" t="n"/>
      <c r="O29" s="84" t="n"/>
      <c r="P29" s="84" t="n"/>
      <c r="Q29" s="84" t="n"/>
    </row>
    <row r="30" ht="13.9" customHeight="1">
      <c r="A30" s="40" t="inlineStr">
        <is>
          <t>IM10</t>
        </is>
      </c>
      <c r="B30" s="9" t="inlineStr">
        <is>
          <t>Cài đặt</t>
        </is>
      </c>
      <c r="C30" s="9" t="inlineStr">
        <is>
          <t>Bắt buộc</t>
        </is>
      </c>
      <c r="D30" s="9" t="inlineStr">
        <is>
          <t>Định kỳ nhập Guest List CSV; xử lý file lỗi, trùng và không làm gián đoạn hệ thống.</t>
        </is>
      </c>
      <c r="E30" s="10" t="inlineStr">
        <is>
          <t>Job/scheduler + validation + duplicate report</t>
        </is>
      </c>
      <c r="F30" s="29" t="inlineStr">
        <is>
          <t>Nguyễn Lê Thế Vinh</t>
        </is>
      </c>
      <c r="G30" s="30" t="inlineStr">
        <is>
          <t>Hoàn thành</t>
        </is>
      </c>
      <c r="H30" s="41" t="n">
        <v>100</v>
      </c>
      <c r="I30" s="30" t="inlineStr">
        <is>
          <t>packages/backend/src/guest-list-import/ (guest-list-import.processor.ts, discover-guest-list-files.use-case.ts); apps/web/src/features/admin/guest-list/; test/guest-list/guest-list.e2e-spec.ts</t>
        </is>
      </c>
      <c r="J30" s="30" t="inlineStr">
        <is>
          <t>Đạt</t>
        </is>
      </c>
      <c r="K30" s="31" t="n"/>
      <c r="L30" s="84" t="n"/>
      <c r="M30" s="84" t="n"/>
      <c r="N30" s="84" t="n"/>
      <c r="O30" s="84" t="n"/>
      <c r="P30" s="84" t="n"/>
      <c r="Q30" s="84" t="n"/>
    </row>
    <row r="31" ht="13.9" customHeight="1">
      <c r="A31" s="40" t="inlineStr">
        <is>
          <t>IM11</t>
        </is>
      </c>
      <c r="B31" s="9" t="inlineStr">
        <is>
          <t>Cài đặt</t>
        </is>
      </c>
      <c r="C31" s="9" t="inlineStr">
        <is>
          <t>Bắt buộc</t>
        </is>
      </c>
      <c r="D31" s="9" t="inlineStr">
        <is>
          <t>Không oversell vé cuối cùng khi nhiều người mua đồng thời.</t>
        </is>
      </c>
      <c r="E31" s="10" t="inlineStr">
        <is>
          <t>Concurrency test + transaction/locking/atomic update</t>
        </is>
      </c>
      <c r="F31" s="29" t="inlineStr">
        <is>
          <t>Trương Nhật Đạt</t>
        </is>
      </c>
      <c r="G31" s="30" t="inlineStr">
        <is>
          <t>Hoàn thành</t>
        </is>
      </c>
      <c r="H31" s="41" t="n">
        <v>100</v>
      </c>
      <c r="I31" s="30" t="inlineStr">
        <is>
          <t>packages/backend/src/ordering/infrastructure/database/prisma-inventory-reservation.repository.ts (SELECT ... FOR UPDATE) + spec "prevents oversell when concurrent reservations serialize through the ticket type lock"</t>
        </is>
      </c>
      <c r="J31" s="30" t="inlineStr">
        <is>
          <t>Đạt</t>
        </is>
      </c>
      <c r="K31" s="31" t="n"/>
      <c r="L31" s="84" t="n"/>
      <c r="M31" s="84" t="n"/>
      <c r="N31" s="84" t="n"/>
      <c r="O31" s="84" t="n"/>
      <c r="P31" s="84" t="n"/>
      <c r="Q31" s="84" t="n"/>
    </row>
    <row r="32" ht="13.9" customHeight="1">
      <c r="A32" s="40" t="inlineStr">
        <is>
          <t>IM12</t>
        </is>
      </c>
      <c r="B32" s="9" t="inlineStr">
        <is>
          <t>Cài đặt</t>
        </is>
      </c>
      <c r="C32" s="9" t="inlineStr">
        <is>
          <t>Bắt buộc</t>
        </is>
      </c>
      <c r="D32" s="9" t="inlineStr">
        <is>
          <t>Cơ chế bảo vệ tải đột biến/rate limiting/bot-fairness cài trong code.</t>
        </is>
      </c>
      <c r="E32" s="10" t="inlineStr">
        <is>
          <t>Middleware/config + test vượt ngưỡng/load test</t>
        </is>
      </c>
      <c r="F32" s="29" t="inlineStr">
        <is>
          <t>Trương Nhật Đạt</t>
        </is>
      </c>
      <c r="G32" s="30" t="inlineStr">
        <is>
          <t>Hoàn thành</t>
        </is>
      </c>
      <c r="H32" s="41" t="n">
        <v>100</v>
      </c>
      <c r="I32" s="30" t="inlineStr">
        <is>
          <t>packages/backend/src/platform/rate-limiting/ (rate-limit.interceptor.ts, rate-limit-policy.ts, rate-limit-actor-key.service.ts) — 11/11 test pass</t>
        </is>
      </c>
      <c r="J32" s="30" t="inlineStr">
        <is>
          <t>Đạt</t>
        </is>
      </c>
      <c r="K32" s="31" t="n"/>
      <c r="L32" s="84" t="n"/>
      <c r="M32" s="84" t="n"/>
      <c r="N32" s="84" t="n"/>
      <c r="O32" s="84" t="n"/>
      <c r="P32" s="84" t="n"/>
      <c r="Q32" s="84" t="n"/>
    </row>
    <row r="33" ht="13.9" customHeight="1">
      <c r="A33" s="40" t="inlineStr">
        <is>
          <t>IM13</t>
        </is>
      </c>
      <c r="B33" s="9" t="inlineStr">
        <is>
          <t>Cài đặt</t>
        </is>
      </c>
      <c r="C33" s="9" t="inlineStr">
        <is>
          <t>Bắt buộc</t>
        </is>
      </c>
      <c r="D33" s="9" t="inlineStr">
        <is>
          <t>Circuit breaker và graceful degradation cài thật.</t>
        </is>
      </c>
      <c r="E33" s="10" t="inlineStr">
        <is>
          <t>Test payment lỗi liên tiếp; trang concert vẫn hoạt động</t>
        </is>
      </c>
      <c r="F33" s="29" t="inlineStr">
        <is>
          <t>Trương Nhật Đạt</t>
        </is>
      </c>
      <c r="G33" s="30" t="inlineStr">
        <is>
          <t>Hoàn thành</t>
        </is>
      </c>
      <c r="H33" s="41" t="n">
        <v>100</v>
      </c>
      <c r="I33" s="30" t="inlineStr">
        <is>
          <t>packages/backend/src/payment/infrastructure/redis/redis-payment-circuit-breaker.ts + .spec.ts (Closed/Open/Half-Open)</t>
        </is>
      </c>
      <c r="J33" s="30" t="inlineStr">
        <is>
          <t>Đạt</t>
        </is>
      </c>
      <c r="K33" s="31" t="n"/>
      <c r="L33" s="84" t="n"/>
      <c r="M33" s="84" t="n"/>
      <c r="N33" s="84" t="n"/>
      <c r="O33" s="84" t="n"/>
      <c r="P33" s="84" t="n"/>
      <c r="Q33" s="84" t="n"/>
    </row>
    <row r="34" ht="13.9" customHeight="1">
      <c r="A34" s="40" t="inlineStr">
        <is>
          <t>IM14</t>
        </is>
      </c>
      <c r="B34" s="9" t="inlineStr">
        <is>
          <t>Cài đặt</t>
        </is>
      </c>
      <c r="C34" s="9" t="inlineStr">
        <is>
          <t>Bắt buộc</t>
        </is>
      </c>
      <c r="D34" s="9" t="inlineStr">
        <is>
          <t>Idempotency cài thật, cùng request không tạo/trừ tiền hai lần.</t>
        </is>
      </c>
      <c r="E34" s="10" t="inlineStr">
        <is>
          <t>Test retry/same key/concurrent retry</t>
        </is>
      </c>
      <c r="F34" s="29" t="inlineStr">
        <is>
          <t>Trương Nhật Đạt</t>
        </is>
      </c>
      <c r="G34" s="30" t="inlineStr">
        <is>
          <t>Hoàn thành</t>
        </is>
      </c>
      <c r="H34" s="41" t="n">
        <v>100</v>
      </c>
      <c r="I34" s="30" t="inlineStr">
        <is>
          <t>packages/backend/src/payment/infrastructure/redis/redis-payment-idempotency.store.ts + .spec.ts</t>
        </is>
      </c>
      <c r="J34" s="30" t="inlineStr">
        <is>
          <t>Đạt</t>
        </is>
      </c>
      <c r="K34" s="31" t="n"/>
      <c r="L34" s="84" t="n"/>
      <c r="M34" s="84" t="n"/>
      <c r="N34" s="84" t="n"/>
      <c r="O34" s="84" t="n"/>
      <c r="P34" s="84" t="n"/>
      <c r="Q34" s="84" t="n"/>
    </row>
    <row r="35" ht="13.9" customHeight="1">
      <c r="A35" s="40" t="inlineStr">
        <is>
          <t>IM15</t>
        </is>
      </c>
      <c r="B35" s="9" t="inlineStr">
        <is>
          <t>Cài đặt</t>
        </is>
      </c>
      <c r="C35" s="9" t="inlineStr">
        <is>
          <t>Bắt buộc</t>
        </is>
      </c>
      <c r="D35" s="9" t="inlineStr">
        <is>
          <t>Caching cài thật, có TTL/invalidation phù hợp.</t>
        </is>
      </c>
      <c r="E35" s="10" t="inlineStr">
        <is>
          <t>Redis/cache code + hit/miss logs + consistency test</t>
        </is>
      </c>
      <c r="F35" s="29" t="inlineStr">
        <is>
          <t>Phạm Quang Vinh</t>
        </is>
      </c>
      <c r="G35" s="30" t="inlineStr">
        <is>
          <t>Hoàn thành</t>
        </is>
      </c>
      <c r="H35" s="41" t="n">
        <v>100</v>
      </c>
      <c r="I35" s="30" t="inlineStr">
        <is>
          <t>packages/backend/src/concert-management/application/cache/concert-cache-decorators.ts + .spec.ts (cache-aside, TTL, invalidation)</t>
        </is>
      </c>
      <c r="J35" s="30" t="inlineStr">
        <is>
          <t>Đạt</t>
        </is>
      </c>
      <c r="K35" s="31" t="n"/>
      <c r="L35" s="84" t="n"/>
      <c r="M35" s="84" t="n"/>
      <c r="N35" s="84" t="n"/>
      <c r="O35" s="84" t="n"/>
      <c r="P35" s="84" t="n"/>
      <c r="Q35" s="84" t="n"/>
    </row>
    <row r="36" ht="13.9" customHeight="1">
      <c r="A36" s="40" t="inlineStr">
        <is>
          <t>IM16</t>
        </is>
      </c>
      <c r="B36" s="9" t="inlineStr">
        <is>
          <t>Cài đặt</t>
        </is>
      </c>
      <c r="C36" s="9" t="inlineStr">
        <is>
          <t>Bắt buộc</t>
        </is>
      </c>
      <c r="D36" s="9" t="inlineStr">
        <is>
          <t>README đủ để clone và chạy không cần hỏi thêm.</t>
        </is>
      </c>
      <c r="E36" s="10" t="inlineStr">
        <is>
          <t>Prerequisites, env, commands, ports, accounts, troubleshooting</t>
        </is>
      </c>
      <c r="F36" s="29" t="inlineStr">
        <is>
          <t>Nguyễn Bảo An</t>
        </is>
      </c>
      <c r="G36" s="30" t="inlineStr">
        <is>
          <t>Hoàn thành</t>
        </is>
      </c>
      <c r="H36" s="41" t="n">
        <v>100</v>
      </c>
      <c r="I36" s="30" t="inlineStr">
        <is>
          <t>README.md (267 dòng: prerequisites, env, lệnh chạy, ports, tài khoản demo, troubleshooting)</t>
        </is>
      </c>
      <c r="J36" s="30" t="inlineStr">
        <is>
          <t>Đạt</t>
        </is>
      </c>
      <c r="K36" s="31" t="n"/>
      <c r="L36" s="84" t="n"/>
      <c r="M36" s="84" t="n"/>
      <c r="N36" s="84" t="n"/>
      <c r="O36" s="84" t="n"/>
      <c r="P36" s="84" t="n"/>
      <c r="Q36" s="84" t="n"/>
    </row>
    <row r="37" ht="13.9" customHeight="1">
      <c r="A37" s="40" t="inlineStr">
        <is>
          <t>IM17</t>
        </is>
      </c>
      <c r="B37" s="9" t="inlineStr">
        <is>
          <t>Cài đặt</t>
        </is>
      </c>
      <c r="C37" s="9" t="inlineStr">
        <is>
          <t>Bắt buộc</t>
        </is>
      </c>
      <c r="D37" s="9" t="inlineStr">
        <is>
          <t>Seed data/script có 4 concert mẫu, loại vé, giá và sơ đồ chỗ ngồi.</t>
        </is>
      </c>
      <c r="E37" s="10" t="inlineStr">
        <is>
          <t>data/ + migration/seed script + ảnh chạy thành công</t>
        </is>
      </c>
      <c r="F37" s="29" t="inlineStr">
        <is>
          <t>Nguyễn Bảo An</t>
        </is>
      </c>
      <c r="G37" s="30" t="inlineStr">
        <is>
          <t>Hoàn thành</t>
        </is>
      </c>
      <c r="H37" s="41" t="n">
        <v>100</v>
      </c>
      <c r="I37" s="30" t="inlineStr">
        <is>
          <t>prisma/seed.ts; test/database/seed.spec.ts; lệnh: npm run db:migrate &amp;&amp; npm run db:seed</t>
        </is>
      </c>
      <c r="J37" s="30" t="inlineStr">
        <is>
          <t>Đạt</t>
        </is>
      </c>
      <c r="K37" s="31" t="n"/>
      <c r="L37" s="84" t="n"/>
      <c r="M37" s="84" t="n"/>
      <c r="N37" s="84" t="n"/>
      <c r="O37" s="84" t="n"/>
      <c r="P37" s="84" t="n"/>
      <c r="Q37" s="84" t="n"/>
    </row>
    <row r="38" ht="13.9" customHeight="1">
      <c r="A38" s="40" t="inlineStr">
        <is>
          <t>IM18</t>
        </is>
      </c>
      <c r="B38" s="9" t="inlineStr">
        <is>
          <t>Cài đặt</t>
        </is>
      </c>
      <c r="C38" s="9" t="inlineStr">
        <is>
          <t>Bắt buộc</t>
        </is>
      </c>
      <c r="D38" s="9" t="inlineStr">
        <is>
          <t>Toàn bộ hệ thống có thể khởi chạy và demo theo Blueprint.</t>
        </is>
      </c>
      <c r="E38" s="10" t="inlineStr">
        <is>
          <t>Script/docker compose + smoke test end-to-end</t>
        </is>
      </c>
      <c r="F38" s="29" t="inlineStr">
        <is>
          <t>Nguyễn Bảo An</t>
        </is>
      </c>
      <c r="G38" s="30" t="inlineStr">
        <is>
          <t>Hoàn thành</t>
        </is>
      </c>
      <c r="H38" s="41" t="n">
        <v>100</v>
      </c>
      <c r="I38" s="30" t="inlineStr">
        <is>
          <t>docker-compose.yml (postgres/redis/maildev) + npm run start:deps / dev:api / dev:worker / dev:web; README.md</t>
        </is>
      </c>
      <c r="J38" s="30" t="inlineStr">
        <is>
          <t>Đạt</t>
        </is>
      </c>
      <c r="K38" s="31" t="n"/>
      <c r="L38" s="84" t="n"/>
      <c r="M38" s="84" t="n"/>
      <c r="N38" s="84" t="n"/>
      <c r="O38" s="84" t="n"/>
      <c r="P38" s="84" t="n"/>
      <c r="Q38" s="84" t="n"/>
    </row>
    <row r="39" ht="13.9" customHeight="1">
      <c r="A39" s="40" t="inlineStr">
        <is>
          <t>SB01</t>
        </is>
      </c>
      <c r="B39" s="9" t="inlineStr">
        <is>
          <t>Nộp bài</t>
        </is>
      </c>
      <c r="C39" s="9" t="inlineStr">
        <is>
          <t>Bắt buộc</t>
        </is>
      </c>
      <c r="D39" s="9" t="inlineStr">
        <is>
          <t>Google Drive public và người chấm mở được bằng tài khoản khác/ẩn danh.</t>
        </is>
      </c>
      <c r="E39" s="10" t="inlineStr">
        <is>
          <t>Link Drive + ảnh kiểm tra quyền</t>
        </is>
      </c>
      <c r="F39" s="29" t="n"/>
      <c r="G39" s="30" t="inlineStr">
        <is>
          <t>Chưa làm</t>
        </is>
      </c>
      <c r="H39" s="41" t="n">
        <v>0</v>
      </c>
      <c r="I39" s="30" t="n"/>
      <c r="J39" s="30" t="inlineStr">
        <is>
          <t>Chưa kiểm tra</t>
        </is>
      </c>
      <c r="K39" s="31" t="inlineStr">
        <is>
          <t>Chưa tạo Google Drive nộp bài.</t>
        </is>
      </c>
      <c r="L39" s="84" t="n"/>
      <c r="M39" s="84" t="n"/>
      <c r="N39" s="84" t="n"/>
      <c r="O39" s="84" t="n"/>
      <c r="P39" s="84" t="n"/>
      <c r="Q39" s="84" t="n"/>
    </row>
    <row r="40" ht="13.9" customHeight="1">
      <c r="A40" s="40" t="inlineStr">
        <is>
          <t>SB02</t>
        </is>
      </c>
      <c r="B40" s="9" t="inlineStr">
        <is>
          <t>Nộp bài</t>
        </is>
      </c>
      <c r="C40" s="9" t="inlineStr">
        <is>
          <t>Bắt buộc</t>
        </is>
      </c>
      <c r="D40" s="9" t="inlineStr">
        <is>
          <t>Drive có blueprint.pdf hoặc thư mục blueprint/ đầy đủ.</t>
        </is>
      </c>
      <c r="E40" s="10" t="inlineStr">
        <is>
          <t>Link trực tiếp tới Blueprint</t>
        </is>
      </c>
      <c r="F40" s="29" t="n"/>
      <c r="G40" s="30" t="inlineStr">
        <is>
          <t>Chưa làm</t>
        </is>
      </c>
      <c r="H40" s="41" t="n">
        <v>0</v>
      </c>
      <c r="I40" s="30" t="n"/>
      <c r="J40" s="30" t="inlineStr">
        <is>
          <t>Chưa kiểm tra</t>
        </is>
      </c>
      <c r="K40" s="31" t="inlineStr">
        <is>
          <t>Blueprint đã có trong repo (blueprint/design.md) nhưng chưa xuất PDF và đưa lên Drive.</t>
        </is>
      </c>
      <c r="L40" s="84" t="n"/>
      <c r="M40" s="84" t="n"/>
      <c r="N40" s="84" t="n"/>
      <c r="O40" s="84" t="n"/>
      <c r="P40" s="84" t="n"/>
      <c r="Q40" s="84" t="n"/>
    </row>
    <row r="41" ht="13.9" customHeight="1">
      <c r="A41" s="40" t="inlineStr">
        <is>
          <t>SB03</t>
        </is>
      </c>
      <c r="B41" s="9" t="inlineStr">
        <is>
          <t>Nộp bài</t>
        </is>
      </c>
      <c r="C41" s="9" t="inlineStr">
        <is>
          <t>Bắt buộc</t>
        </is>
      </c>
      <c r="D41" s="9" t="inlineStr">
        <is>
          <t>Drive có src/, data/ và README.md.</t>
        </is>
      </c>
      <c r="E41" s="10" t="inlineStr">
        <is>
          <t>Link trực tiếp tới source + kiểm tra cấu trúc</t>
        </is>
      </c>
      <c r="F41" s="29" t="n"/>
      <c r="G41" s="30" t="inlineStr">
        <is>
          <t>Chưa làm</t>
        </is>
      </c>
      <c r="H41" s="41" t="n">
        <v>0</v>
      </c>
      <c r="I41" s="30" t="n"/>
      <c r="J41" s="30" t="inlineStr">
        <is>
          <t>Chưa kiểm tra</t>
        </is>
      </c>
      <c r="K41" s="31" t="inlineStr">
        <is>
          <t>Source + README đã có trong repo; chưa đóng gói src/ + data/ lên Drive.</t>
        </is>
      </c>
      <c r="L41" s="84" t="n"/>
      <c r="M41" s="84" t="n"/>
      <c r="N41" s="84" t="n"/>
      <c r="O41" s="84" t="n"/>
      <c r="P41" s="84" t="n"/>
      <c r="Q41" s="84" t="n"/>
    </row>
    <row r="42" ht="13.9" customHeight="1">
      <c r="A42" s="40" t="inlineStr">
        <is>
          <t>SB04</t>
        </is>
      </c>
      <c r="B42" s="9" t="inlineStr">
        <is>
          <t>Nộp bài</t>
        </is>
      </c>
      <c r="C42" s="9" t="inlineStr">
        <is>
          <t>Bắt buộc</t>
        </is>
      </c>
      <c r="D42" s="9" t="inlineStr">
        <is>
          <t>Drive có clips/ video MP4 1080p, khoảng 720 kbps, camera + demo code/app.</t>
        </is>
      </c>
      <c r="E42" s="10" t="inlineStr">
        <is>
          <t>Link video + kiểm tra phát được</t>
        </is>
      </c>
      <c r="F42" s="29" t="n"/>
      <c r="G42" s="30" t="inlineStr">
        <is>
          <t>Chưa làm</t>
        </is>
      </c>
      <c r="H42" s="41" t="n">
        <v>0</v>
      </c>
      <c r="I42" s="30" t="n"/>
      <c r="J42" s="30" t="inlineStr">
        <is>
          <t>Chưa kiểm tra</t>
        </is>
      </c>
      <c r="K42" s="31" t="inlineStr">
        <is>
          <t>Chưa quay video demo (clips/).</t>
        </is>
      </c>
      <c r="L42" s="84" t="n"/>
      <c r="M42" s="84" t="n"/>
      <c r="N42" s="84" t="n"/>
      <c r="O42" s="84" t="n"/>
      <c r="P42" s="84" t="n"/>
      <c r="Q42" s="84" t="n"/>
    </row>
    <row r="43" ht="13.9" customHeight="1">
      <c r="A43" s="19" t="inlineStr">
        <is>
          <t>SB05</t>
        </is>
      </c>
      <c r="B43" s="12" t="inlineStr">
        <is>
          <t>Nộp bài</t>
        </is>
      </c>
      <c r="C43" s="12" t="inlineStr">
        <is>
          <t>Bắt buộc</t>
        </is>
      </c>
      <c r="D43" s="12" t="inlineStr">
        <is>
          <t>File text tên mã-nhóm_mssv1_...txt; nội dung là link Drive public.</t>
        </is>
      </c>
      <c r="E43" s="13" t="inlineStr">
        <is>
          <t>Tên file và nội dung file text</t>
        </is>
      </c>
      <c r="F43" s="33" t="n"/>
      <c r="G43" s="34" t="inlineStr">
        <is>
          <t>Chưa làm</t>
        </is>
      </c>
      <c r="H43" s="42" t="n">
        <v>0</v>
      </c>
      <c r="I43" s="34" t="n"/>
      <c r="J43" s="34" t="inlineStr">
        <is>
          <t>Chưa kiểm tra</t>
        </is>
      </c>
      <c r="K43" s="35" t="inlineStr">
        <is>
          <t>Chưa tạo file text nộp LMS (cần mã nhóm + MSSV).</t>
        </is>
      </c>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2">
    <mergeCell ref="A1:K1"/>
    <mergeCell ref="A3:K3"/>
  </mergeCells>
  <conditionalFormatting sqref="B4">
    <cfRule type="expression" priority="3" dxfId="3">
      <formula>B4&lt;0.5</formula>
    </cfRule>
    <cfRule type="expression" priority="4" dxfId="2">
      <formula>AND(B4&gt;=0.5,B4&lt;0.8)</formula>
    </cfRule>
    <cfRule type="expression" priority="5" dxfId="1">
      <formula>B4&gt;=0.8</formula>
    </cfRule>
  </conditionalFormatting>
  <conditionalFormatting sqref="D4">
    <cfRule type="expression" priority="6" dxfId="3">
      <formula>D4&lt;0.5</formula>
    </cfRule>
    <cfRule type="expression" priority="7" dxfId="2">
      <formula>AND(D4&gt;=0.5,D4&lt;0.8)</formula>
    </cfRule>
    <cfRule type="expression" priority="8" dxfId="1">
      <formula>D4&gt;=0.8</formula>
    </cfRule>
  </conditionalFormatting>
  <conditionalFormatting sqref="F4">
    <cfRule type="expression" priority="9" dxfId="3">
      <formula>F4&lt;0.5</formula>
    </cfRule>
    <cfRule type="expression" priority="10" dxfId="2">
      <formula>AND(F4&gt;=0.5,F4&lt;0.8)</formula>
    </cfRule>
    <cfRule type="expression" priority="11" dxfId="1">
      <formula>F4&gt;=0.8</formula>
    </cfRule>
  </conditionalFormatting>
  <conditionalFormatting sqref="G6:G43">
    <cfRule type="expression" priority="1" dxfId="8">
      <formula>G6="Hoàn thành"</formula>
    </cfRule>
    <cfRule type="expression" priority="2" dxfId="0">
      <formula>G6="Chưa làm"</formula>
    </cfRule>
  </conditionalFormatting>
  <conditionalFormatting sqref="H4">
    <cfRule type="expression" priority="12" dxfId="3">
      <formula>H4&lt;0.5</formula>
    </cfRule>
    <cfRule type="expression" priority="13" dxfId="2">
      <formula>AND(H4&gt;=0.5,H4&lt;0.8)</formula>
    </cfRule>
    <cfRule type="expression" priority="14" dxfId="1">
      <formula>H4&gt;=0.8</formula>
    </cfRule>
  </conditionalFormatting>
  <conditionalFormatting sqref="J4">
    <cfRule type="expression" priority="15" dxfId="3">
      <formula>J4&lt;0.5</formula>
    </cfRule>
    <cfRule type="expression" priority="16" dxfId="2">
      <formula>AND(J4&gt;=0.5,J4&lt;0.8)</formula>
    </cfRule>
    <cfRule type="expression" priority="17" dxfId="1">
      <formula>J4&gt;=0.8</formula>
    </cfRule>
  </conditionalFormatting>
  <dataValidations count="1">
    <dataValidation sqref="H6:H43" showDropDown="0" showInputMessage="0" showErrorMessage="0" allowBlank="0" type="decimal">
      <formula1>0</formula1>
      <formula2>100</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11" customWidth="1" min="1" max="1"/>
    <col width="14" customWidth="1" min="2" max="2"/>
    <col width="15" customWidth="1" min="3" max="3"/>
    <col width="48" customWidth="1" min="4" max="4"/>
    <col width="45" customWidth="1" min="5" max="5"/>
    <col width="24" customWidth="1" min="6" max="7"/>
    <col width="12" customWidth="1" min="8" max="8"/>
    <col width="14" customWidth="1" min="9" max="9"/>
    <col width="9" customWidth="1" min="10" max="10"/>
    <col width="14" customWidth="1" min="11" max="11"/>
    <col width="38" customWidth="1" min="12" max="12"/>
    <col width="50" customWidth="1" min="13" max="13"/>
    <col width="14" customWidth="1" min="14" max="14"/>
  </cols>
  <sheetData>
    <row r="1" ht="15" customHeight="1">
      <c r="A1" s="127" t="inlineStr">
        <is>
          <t>PHÂN CÔNG VÀ TỰ KHAI BÁO CÔNG VIỆC CÁ NHÂN</t>
        </is>
      </c>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18" customHeight="1">
      <c r="A3" s="128" t="inlineStr">
        <is>
          <t>Mỗi dòng là một task đủ cụ thể. Không ghi chung chung như “làm backend”. Ví dụ tốt: “Cài Idempotency-Key middleware, lưu key trong Redis TTL 24h và viết 5 test retry payment”.</t>
        </is>
      </c>
      <c r="O3" s="84" t="n"/>
      <c r="P3" s="84" t="n"/>
      <c r="Q3" s="84" t="n"/>
    </row>
    <row r="4" ht="13.9" customHeight="1">
      <c r="A4" s="84" t="n"/>
      <c r="B4" s="84" t="n"/>
      <c r="C4" s="84" t="n"/>
      <c r="D4" s="84" t="n"/>
      <c r="E4" s="84" t="n"/>
      <c r="F4" s="84" t="n"/>
      <c r="G4" s="84" t="n"/>
      <c r="H4" s="84" t="n"/>
      <c r="I4" s="84" t="n"/>
      <c r="J4" s="84" t="n"/>
      <c r="K4" s="84" t="n"/>
      <c r="L4" s="84" t="n"/>
      <c r="M4" s="84" t="n"/>
      <c r="N4" s="84" t="n"/>
      <c r="O4" s="84" t="n"/>
      <c r="P4" s="84" t="n"/>
      <c r="Q4" s="84" t="n"/>
    </row>
    <row r="5" ht="13.9" customHeight="1">
      <c r="A5" s="2" t="inlineStr">
        <is>
          <t>Task ID</t>
        </is>
      </c>
      <c r="B5" s="3" t="inlineStr">
        <is>
          <t>Requirement ID</t>
        </is>
      </c>
      <c r="C5" s="3" t="inlineStr">
        <is>
          <t>Nhóm nội dung</t>
        </is>
      </c>
      <c r="D5" s="3" t="inlineStr">
        <is>
          <t>Mô tả task cụ thể</t>
        </is>
      </c>
      <c r="E5" s="3" t="inlineStr">
        <is>
          <t>Sản phẩm/tiêu chí hoàn thành</t>
        </is>
      </c>
      <c r="F5" s="3" t="inlineStr">
        <is>
          <t>Người chính</t>
        </is>
      </c>
      <c r="G5" s="3" t="inlineStr">
        <is>
          <t>Người phối hợp</t>
        </is>
      </c>
      <c r="H5" s="3" t="inlineStr">
        <is>
          <t>Độ khó 1–5</t>
        </is>
      </c>
      <c r="I5" s="3" t="inlineStr">
        <is>
          <t>Vai trò</t>
        </is>
      </c>
      <c r="J5" s="3" t="inlineStr">
        <is>
          <t>% HT</t>
        </is>
      </c>
      <c r="K5" s="3" t="inlineStr">
        <is>
          <t>Chất lượng 1–5</t>
        </is>
      </c>
      <c r="L5" s="3" t="inlineStr">
        <is>
          <t>Link/ID minh chứng</t>
        </is>
      </c>
      <c r="M5" s="3" t="inlineStr">
        <is>
          <t>Giải thích đóng góp cá nhân</t>
        </is>
      </c>
      <c r="N5" s="4" t="inlineStr">
        <is>
          <t>Điểm công việc</t>
        </is>
      </c>
      <c r="O5" s="84" t="n"/>
      <c r="P5" s="84" t="n"/>
      <c r="Q5" s="84" t="n"/>
    </row>
    <row r="6" ht="13.9" customHeight="1">
      <c r="A6" s="25" t="inlineStr">
        <is>
          <t>T01</t>
        </is>
      </c>
      <c r="B6" s="26" t="inlineStr">
        <is>
          <t>BP01</t>
        </is>
      </c>
      <c r="C6" s="26" t="inlineStr">
        <is>
          <t>Blueprint</t>
        </is>
      </c>
      <c r="D6" s="26" t="inlineStr">
        <is>
          <t>Viết Blueprint kiến trúc tổng thể TicketBox: chọn modular monolith NestJS, phân tầng clean/hexagonal, xác định failure boundary khi payment lỗi.</t>
        </is>
      </c>
      <c r="E6" s="26" t="inlineStr">
        <is>
          <t>blueprint/design.md có Context, Goals/Non-Goals và 12 Decisions; giải thích được phần nào vẫn chạy khi payment chết.</t>
        </is>
      </c>
      <c r="F6" s="26" t="inlineStr">
        <is>
          <t>Nguyễn Bảo An</t>
        </is>
      </c>
      <c r="G6" s="26" t="inlineStr">
        <is>
          <t>Phạm Quang Vinh</t>
        </is>
      </c>
      <c r="H6" s="26" t="n">
        <v>5</v>
      </c>
      <c r="I6" s="26" t="inlineStr">
        <is>
          <t>Chính</t>
        </is>
      </c>
      <c r="J6" s="39" t="n">
        <v>100</v>
      </c>
      <c r="K6" s="26" t="n">
        <v>5</v>
      </c>
      <c r="L6" s="26" t="inlineStr">
        <is>
          <t>openspec/changes/archive/2026-06-13-define-ticketbox-blueprint/; blueprint/design.md</t>
        </is>
      </c>
      <c r="M6" s="27" t="inlineStr">
        <is>
          <t>Tự dựng toàn bộ cấu trúc tài liệu kiến trúc và thống nhất ranh giới module cho cả nhóm.</t>
        </is>
      </c>
      <c r="N6" s="43">
        <f>IF(F6="","",H6*(J6/100)*(K6/5)*IF(I6="Chính",1.2,IF(I6="Phối hợp",1,0.7)))</f>
        <v/>
      </c>
      <c r="O6" s="84" t="n"/>
      <c r="P6" s="84" t="n"/>
      <c r="Q6" s="84" t="n"/>
    </row>
    <row r="7" ht="13.9" customHeight="1">
      <c r="A7" s="29" t="inlineStr">
        <is>
          <t>T02</t>
        </is>
      </c>
      <c r="B7" s="30" t="inlineStr">
        <is>
          <t>BP02</t>
        </is>
      </c>
      <c r="C7" s="30" t="inlineStr">
        <is>
          <t>Blueprint</t>
        </is>
      </c>
      <c r="D7" s="30" t="inlineStr">
        <is>
          <t>Vẽ C4 Level 1 (System Context) và Level 2 (Container): actor Khán giả/BTC/Soát vé và hệ thống ngoài VNPAY, MoMo, AI, CSV.</t>
        </is>
      </c>
      <c r="E7" s="30" t="inlineStr">
        <is>
          <t>blueprint/design.md có 2 mục C4 kèm sơ đồ mermaid và mô tả giao tiếp đồng bộ/bất đồng bộ.</t>
        </is>
      </c>
      <c r="F7" s="30" t="inlineStr">
        <is>
          <t>Nguyễn Bảo An</t>
        </is>
      </c>
      <c r="G7" s="30" t="n"/>
      <c r="H7" s="30" t="n">
        <v>4</v>
      </c>
      <c r="I7" s="30" t="inlineStr">
        <is>
          <t>Chính</t>
        </is>
      </c>
      <c r="J7" s="41" t="n">
        <v>100</v>
      </c>
      <c r="K7" s="30" t="n">
        <v>5</v>
      </c>
      <c r="L7" s="30" t="inlineStr">
        <is>
          <t>blueprint/design.md — "C4 Level 1: System Context", "C4 Level 2: Container"</t>
        </is>
      </c>
      <c r="M7" s="31" t="inlineStr">
        <is>
          <t>Xác định ranh giới hệ thống và các container: api, worker, web, mobile, postgres, redis.</t>
        </is>
      </c>
      <c r="N7" s="44">
        <f>IF(F7="","",H7*(J7/100)*(K7/5)*IF(I7="Chính",1.2,IF(I7="Phối hợp",1,0.7)))</f>
        <v/>
      </c>
      <c r="O7" s="84" t="n"/>
      <c r="P7" s="84" t="n"/>
      <c r="Q7" s="84" t="n"/>
    </row>
    <row r="8" ht="13.9" customHeight="1">
      <c r="A8" s="29" t="inlineStr">
        <is>
          <t>T03</t>
        </is>
      </c>
      <c r="B8" s="30" t="inlineStr">
        <is>
          <t>BP04</t>
        </is>
      </c>
      <c r="C8" s="30" t="inlineStr">
        <is>
          <t>Blueprint</t>
        </is>
      </c>
      <c r="D8" s="30" t="inlineStr">
        <is>
          <t>Vẽ High-Level Architecture Flow, nhấn mạnh payment, AI, CSV, offline check-in và luồng phụ thuộc khi lỗi.</t>
        </is>
      </c>
      <c r="E8" s="30" t="inlineStr">
        <is>
          <t>Sơ đồ mermaid kèm mô tả failure boundary cho từng nhánh tích hợp.</t>
        </is>
      </c>
      <c r="F8" s="30" t="inlineStr">
        <is>
          <t>Nguyễn Bảo An</t>
        </is>
      </c>
      <c r="G8" s="30" t="n"/>
      <c r="H8" s="30" t="n">
        <v>4</v>
      </c>
      <c r="I8" s="30" t="inlineStr">
        <is>
          <t>Chính</t>
        </is>
      </c>
      <c r="J8" s="41" t="n">
        <v>100</v>
      </c>
      <c r="K8" s="30" t="n">
        <v>5</v>
      </c>
      <c r="L8" s="30" t="inlineStr">
        <is>
          <t>blueprint/design.md — "High-Level Architecture Flow"</t>
        </is>
      </c>
      <c r="M8" s="31" t="inlineStr">
        <is>
          <t>Chỉ ra điểm hỏng và cơ chế suy giảm mềm cho từng tích hợp bên ngoài.</t>
        </is>
      </c>
      <c r="N8" s="44">
        <f>IF(F8="","",H8*(J8/100)*(K8/5)*IF(I8="Chính",1.2,IF(I8="Phối hợp",1,0.7)))</f>
        <v/>
      </c>
      <c r="O8" s="84" t="n"/>
      <c r="P8" s="84" t="n"/>
      <c r="Q8" s="84" t="n"/>
    </row>
    <row r="9" ht="13.9" customHeight="1">
      <c r="A9" s="29" t="inlineStr">
        <is>
          <t>T04</t>
        </is>
      </c>
      <c r="B9" s="30" t="inlineStr">
        <is>
          <t>BP05</t>
        </is>
      </c>
      <c r="C9" s="30" t="inlineStr">
        <is>
          <t>Blueprint</t>
        </is>
      </c>
      <c r="D9" s="30" t="inlineStr">
        <is>
          <t>Thiết kế mô hình dữ liệu: PostgreSQL là nguồn sự thật, Redis chỉ giữ state phái sinh; định nghĩa schema các entity chính.</t>
        </is>
      </c>
      <c r="E9" s="30" t="inlineStr">
        <is>
          <t>blueprint/design.md mục Database Design + prisma/schema.prisma; giải thích được consistency.</t>
        </is>
      </c>
      <c r="F9" s="30" t="inlineStr">
        <is>
          <t>Nguyễn Bảo An</t>
        </is>
      </c>
      <c r="G9" s="30" t="inlineStr">
        <is>
          <t>Phạm Quang Vinh</t>
        </is>
      </c>
      <c r="H9" s="30" t="n">
        <v>5</v>
      </c>
      <c r="I9" s="30" t="inlineStr">
        <is>
          <t>Chính</t>
        </is>
      </c>
      <c r="J9" s="41" t="n">
        <v>100</v>
      </c>
      <c r="K9" s="30" t="n">
        <v>5</v>
      </c>
      <c r="L9" s="30" t="inlineStr">
        <is>
          <t>blueprint/design.md — "Database Design"; prisma/schema.prisma</t>
        </is>
      </c>
      <c r="M9" s="31" t="inlineStr">
        <is>
          <t>Ra quyết định SQL/NoSQL (Decision 2) và thiết kế transaction boundary chống oversell.</t>
        </is>
      </c>
      <c r="N9" s="44">
        <f>IF(F9="","",H9*(J9/100)*(K9/5)*IF(I9="Chính",1.2,IF(I9="Phối hợp",1,0.7)))</f>
        <v/>
      </c>
      <c r="O9" s="84" t="n"/>
      <c r="P9" s="84" t="n"/>
      <c r="Q9" s="84" t="n"/>
    </row>
    <row r="10" ht="13.9" customHeight="1">
      <c r="A10" s="29" t="inlineStr">
        <is>
          <t>T05</t>
        </is>
      </c>
      <c r="B10" s="30" t="inlineStr">
        <is>
          <t>BP09</t>
        </is>
      </c>
      <c r="C10" s="30" t="inlineStr">
        <is>
          <t>Blueprint</t>
        </is>
      </c>
      <c r="D10" s="30" t="inlineStr">
        <is>
          <t>Thiết kế kiểm soát truy cập: ma trận 4 role (AUDIENCE, ORGANIZER, CHECKIN_STAFF, ADMIN) và 5 điểm enforcement.</t>
        </is>
      </c>
      <c r="E10" s="30" t="inlineStr">
        <is>
          <t>blueprint/design.md mục Access Control Design; nêu rõ frontend guard không phải nguồn sự thật.</t>
        </is>
      </c>
      <c r="F10" s="30" t="inlineStr">
        <is>
          <t>Nguyễn Bảo An</t>
        </is>
      </c>
      <c r="G10" s="30" t="n"/>
      <c r="H10" s="30" t="n">
        <v>4</v>
      </c>
      <c r="I10" s="30" t="inlineStr">
        <is>
          <t>Chính</t>
        </is>
      </c>
      <c r="J10" s="41" t="n">
        <v>100</v>
      </c>
      <c r="K10" s="30" t="n">
        <v>5</v>
      </c>
      <c r="L10" s="30" t="inlineStr">
        <is>
          <t>blueprint/design.md — "Access Control Design"</t>
        </is>
      </c>
      <c r="M10" s="31" t="inlineStr">
        <is>
          <t>Định nghĩa role-permission và nguyên tắc server luôn xác thực lại mọi request.</t>
        </is>
      </c>
      <c r="N10" s="44">
        <f>IF(F10="","",H10*(J10/100)*(K10/5)*IF(I10="Chính",1.2,IF(I10="Phối hợp",1,0.7)))</f>
        <v/>
      </c>
      <c r="O10" s="84" t="n"/>
      <c r="P10" s="84" t="n"/>
      <c r="Q10" s="84" t="n"/>
    </row>
    <row r="11" ht="13.9" customHeight="1">
      <c r="A11" s="29" t="inlineStr">
        <is>
          <t>T06</t>
        </is>
      </c>
      <c r="B11" s="30" t="inlineStr">
        <is>
          <t>BP14</t>
        </is>
      </c>
      <c r="C11" s="30" t="inlineStr">
        <is>
          <t>Blueprint</t>
        </is>
      </c>
      <c r="D11" s="30" t="inlineStr">
        <is>
          <t>Viết 12 ADR/Decision cho các quyết định lớn và đánh đổi: SQL/NoSQL, JWT, broker, locking, cache, rate limit, AI provider.</t>
        </is>
      </c>
      <c r="E11" s="30" t="inlineStr">
        <is>
          <t>blueprint/design.md Decisions 1–12 và DECISIONS.md; mỗi quyết định có lý do và trade-off.</t>
        </is>
      </c>
      <c r="F11" s="30" t="inlineStr">
        <is>
          <t>Nguyễn Bảo An</t>
        </is>
      </c>
      <c r="G11" s="30" t="n"/>
      <c r="H11" s="30" t="n">
        <v>4</v>
      </c>
      <c r="I11" s="30" t="inlineStr">
        <is>
          <t>Chính</t>
        </is>
      </c>
      <c r="J11" s="41" t="n">
        <v>100</v>
      </c>
      <c r="K11" s="30" t="n">
        <v>5</v>
      </c>
      <c r="L11" s="30" t="inlineStr">
        <is>
          <t>blueprint/design.md — Decisions 1–12; DECISIONS.md</t>
        </is>
      </c>
      <c r="M11" s="31" t="inlineStr">
        <is>
          <t>Ghi lại lập luận và đánh đổi để cả nhóm không phá vỡ pattern khi mở rộng.</t>
        </is>
      </c>
      <c r="N11" s="44">
        <f>IF(F11="","",H11*(J11/100)*(K11/5)*IF(I11="Chính",1.2,IF(I11="Phối hợp",1,0.7)))</f>
        <v/>
      </c>
      <c r="O11" s="84" t="n"/>
      <c r="P11" s="84" t="n"/>
      <c r="Q11" s="84" t="n"/>
    </row>
    <row r="12" ht="13.9" customHeight="1">
      <c r="A12" s="29" t="inlineStr">
        <is>
          <t>T07</t>
        </is>
      </c>
      <c r="B12" s="30" t="inlineStr">
        <is>
          <t>BP15</t>
        </is>
      </c>
      <c r="C12" s="30" t="inlineStr">
        <is>
          <t>Blueprint</t>
        </is>
      </c>
      <c r="D12" s="30" t="inlineStr">
        <is>
          <t>Thiết lập quy trình spec-driven OpenSpec: proposal.md + design.md + specs/[capability].md, quy ước 1 nhánh = 1 change = 1 PR.</t>
        </is>
      </c>
      <c r="E12" s="30" t="inlineStr">
        <is>
          <t>openspec/specs/ với hơn 70 capability và 92 change đã archive, mỗi change có acceptance criteria và error scenario.</t>
        </is>
      </c>
      <c r="F12" s="30" t="inlineStr">
        <is>
          <t>Nguyễn Bảo An</t>
        </is>
      </c>
      <c r="G12" s="30" t="inlineStr">
        <is>
          <t>Nguyễn Lê Thế Vinh</t>
        </is>
      </c>
      <c r="H12" s="30" t="n">
        <v>5</v>
      </c>
      <c r="I12" s="30" t="inlineStr">
        <is>
          <t>Chính</t>
        </is>
      </c>
      <c r="J12" s="41" t="n">
        <v>100</v>
      </c>
      <c r="K12" s="30" t="n">
        <v>5</v>
      </c>
      <c r="L12" s="30" t="inlineStr">
        <is>
          <t>blueprint/proposal.md; blueprint/specs/; docs/team-change-plan.md</t>
        </is>
      </c>
      <c r="M12" s="31" t="inlineStr">
        <is>
          <t>Thiết kế quy trình làm việc để 4 thành viên phát triển song song không giẫm chân nhau.</t>
        </is>
      </c>
      <c r="N12" s="44">
        <f>IF(F12="","",H12*(J12/100)*(K12/5)*IF(I12="Chính",1.2,IF(I12="Phối hợp",1,0.7)))</f>
        <v/>
      </c>
      <c r="O12" s="84" t="n"/>
      <c r="P12" s="84" t="n"/>
      <c r="Q12" s="84" t="n"/>
    </row>
    <row r="13" ht="13.9" customHeight="1">
      <c r="A13" s="29" t="inlineStr">
        <is>
          <t>T08</t>
        </is>
      </c>
      <c r="B13" s="30" t="inlineStr">
        <is>
          <t>BP06</t>
        </is>
      </c>
      <c r="C13" s="30" t="inlineStr">
        <is>
          <t>Blueprint</t>
        </is>
      </c>
      <c r="D13" s="30" t="inlineStr">
        <is>
          <t>Đặc tả luồng mua vé từ lúc bấm mua đến khi nhận e-ticket, gồm xử lý lỗi giữa chừng: hết vé, payment fail, hết hạn giữ chỗ.</t>
        </is>
      </c>
      <c r="E13" s="30" t="inlineStr">
        <is>
          <t>blueprint/design.md — Critical Business Flow "Ticket purchase from buy click to e-ticket".</t>
        </is>
      </c>
      <c r="F13" s="30" t="inlineStr">
        <is>
          <t>Nguyễn Bảo An</t>
        </is>
      </c>
      <c r="G13" s="30" t="inlineStr">
        <is>
          <t>Trương Nhật Đạt</t>
        </is>
      </c>
      <c r="H13" s="30" t="n">
        <v>4</v>
      </c>
      <c r="I13" s="30" t="inlineStr">
        <is>
          <t>Chính</t>
        </is>
      </c>
      <c r="J13" s="41" t="n">
        <v>100</v>
      </c>
      <c r="K13" s="30" t="n">
        <v>5</v>
      </c>
      <c r="L13" s="30" t="inlineStr">
        <is>
          <t>blueprint/design.md — "Ticket purchase from buy click to e-ticket"</t>
        </is>
      </c>
      <c r="M13" s="31" t="inlineStr">
        <is>
          <t>Mô tả từng bước và trạng thái đơn hàng khi lỗi xảy ra ở mỗi chặng.</t>
        </is>
      </c>
      <c r="N13" s="44">
        <f>IF(F13="","",H13*(J13/100)*(K13/5)*IF(I13="Chính",1.2,IF(I13="Phối hợp",1,0.7)))</f>
        <v/>
      </c>
      <c r="O13" s="84" t="n"/>
      <c r="P13" s="84" t="n"/>
      <c r="Q13" s="84" t="n"/>
    </row>
    <row r="14" ht="13.9" customHeight="1">
      <c r="A14" s="29" t="inlineStr">
        <is>
          <t>T09</t>
        </is>
      </c>
      <c r="B14" s="30" t="inlineStr">
        <is>
          <t>IM06</t>
        </is>
      </c>
      <c r="C14" s="30" t="inlineStr">
        <is>
          <t>Cài đặt</t>
        </is>
      </c>
      <c r="D14" s="30" t="inlineStr">
        <is>
          <t>Cài xác thực JWT và RBAC guard thật ở API: RolesGuard, decorator @Roles, kiểm tra ownership trong use-case.</t>
        </is>
      </c>
      <c r="E14" s="30" t="inlineStr">
        <is>
          <t>roles.guard.ts + roles.guard.spec.ts pass; nhân sự soát vé gọi API tạo concert bị chặn 403.</t>
        </is>
      </c>
      <c r="F14" s="30" t="inlineStr">
        <is>
          <t>Nguyễn Bảo An</t>
        </is>
      </c>
      <c r="G14" s="30" t="inlineStr">
        <is>
          <t>Phạm Quang Vinh</t>
        </is>
      </c>
      <c r="H14" s="30" t="n">
        <v>4</v>
      </c>
      <c r="I14" s="30" t="inlineStr">
        <is>
          <t>Chính</t>
        </is>
      </c>
      <c r="J14" s="41" t="n">
        <v>100</v>
      </c>
      <c r="K14" s="30" t="n">
        <v>5</v>
      </c>
      <c r="L14" s="30" t="inlineStr">
        <is>
          <t>openspec/changes/archive/2026-06-15-implement-auth-rbac/; packages/backend/src/identity/adapters/http/guards/roles.guard.ts</t>
        </is>
      </c>
      <c r="M14" s="31" t="inlineStr">
        <is>
          <t>Cài enforcement 3 lớp: guard ở controller, re-check ownership ở use-case, route guard ở frontend.</t>
        </is>
      </c>
      <c r="N14" s="44">
        <f>IF(F14="","",H14*(J14/100)*(K14/5)*IF(I14="Chính",1.2,IF(I14="Phối hợp",1,0.7)))</f>
        <v/>
      </c>
      <c r="O14" s="84" t="n"/>
      <c r="P14" s="84" t="n"/>
      <c r="Q14" s="84" t="n"/>
    </row>
    <row r="15" ht="13.9" customHeight="1">
      <c r="A15" s="29" t="inlineStr">
        <is>
          <t>T10</t>
        </is>
      </c>
      <c r="B15" s="30" t="inlineStr">
        <is>
          <t>IM06</t>
        </is>
      </c>
      <c r="C15" s="30" t="inlineStr">
        <is>
          <t>Cài đặt</t>
        </is>
      </c>
      <c r="D15" s="30" t="inlineStr">
        <is>
          <t>Cài quản trị người dùng và phân quyền admin: tạo/khóa tài khoản, gán role, gán staff theo concert.</t>
        </is>
      </c>
      <c r="E15" s="30" t="inlineStr">
        <is>
          <t>openspec change implement-admin-access-control; test/auth/admin-users.e2e-spec.ts pass.</t>
        </is>
      </c>
      <c r="F15" s="30" t="inlineStr">
        <is>
          <t>Nguyễn Bảo An</t>
        </is>
      </c>
      <c r="G15" s="30" t="n"/>
      <c r="H15" s="30" t="n">
        <v>4</v>
      </c>
      <c r="I15" s="30" t="inlineStr">
        <is>
          <t>Chính</t>
        </is>
      </c>
      <c r="J15" s="41" t="n">
        <v>100</v>
      </c>
      <c r="K15" s="30" t="n">
        <v>4</v>
      </c>
      <c r="L15" s="30" t="inlineStr">
        <is>
          <t>openspec/changes/archive/2026-06-15-implement-admin-access-control/; test/auth/admin-users.e2e-spec.ts</t>
        </is>
      </c>
      <c r="M15" s="31" t="inlineStr">
        <is>
          <t>Xây lớp quản trị người dùng và ràng buộc staff chỉ soát vé concert được gán.</t>
        </is>
      </c>
      <c r="N15" s="44">
        <f>IF(F15="","",H15*(J15/100)*(K15/5)*IF(I15="Chính",1.2,IF(I15="Phối hợp",1,0.7)))</f>
        <v/>
      </c>
      <c r="O15" s="84" t="n"/>
      <c r="P15" s="84" t="n"/>
      <c r="Q15" s="84" t="n"/>
    </row>
    <row r="16" ht="13.9" customHeight="1">
      <c r="A16" s="29" t="inlineStr">
        <is>
          <t>T11</t>
        </is>
      </c>
      <c r="B16" s="30" t="inlineStr">
        <is>
          <t>IM17</t>
        </is>
      </c>
      <c r="C16" s="30" t="inlineStr">
        <is>
          <t>Cài đặt</t>
        </is>
      </c>
      <c r="D16" s="30" t="inlineStr">
        <is>
          <t>Viết migration Prisma và seed data: concert mẫu, loại vé, giá, sơ đồ chỗ ngồi và tài khoản demo cho 4 role.</t>
        </is>
      </c>
      <c r="E16" s="30" t="inlineStr">
        <is>
          <t>prisma/seed.ts chạy được; test/database/seed.spec.ts pass; npm run db:migrate &amp;&amp; npm run db:seed.</t>
        </is>
      </c>
      <c r="F16" s="30" t="inlineStr">
        <is>
          <t>Nguyễn Bảo An</t>
        </is>
      </c>
      <c r="G16" s="30" t="inlineStr">
        <is>
          <t>Nguyễn Lê Thế Vinh</t>
        </is>
      </c>
      <c r="H16" s="30" t="n">
        <v>3</v>
      </c>
      <c r="I16" s="30" t="inlineStr">
        <is>
          <t>Chính</t>
        </is>
      </c>
      <c r="J16" s="41" t="n">
        <v>100</v>
      </c>
      <c r="K16" s="30" t="n">
        <v>5</v>
      </c>
      <c r="L16" s="30" t="inlineStr">
        <is>
          <t>openspec/changes/archive/2026-06-15-implement-database-migrations-and-seed/; prisma/seed.ts</t>
        </is>
      </c>
      <c r="M16" s="31" t="inlineStr">
        <is>
          <t>Dựng dữ liệu demo để cả nhóm và giảng viên chạy được hệ thống ngay sau khi clone.</t>
        </is>
      </c>
      <c r="N16" s="44">
        <f>IF(F16="","",H16*(J16/100)*(K16/5)*IF(I16="Chính",1.2,IF(I16="Phối hợp",1,0.7)))</f>
        <v/>
      </c>
      <c r="O16" s="84" t="n"/>
      <c r="P16" s="84" t="n"/>
      <c r="Q16" s="84" t="n"/>
    </row>
    <row r="17" ht="13.9" customHeight="1">
      <c r="A17" s="29" t="inlineStr">
        <is>
          <t>T12</t>
        </is>
      </c>
      <c r="B17" s="30" t="inlineStr">
        <is>
          <t>IM18</t>
        </is>
      </c>
      <c r="C17" s="30" t="inlineStr">
        <is>
          <t>Cài đặt</t>
        </is>
      </c>
      <c r="D17" s="30" t="inlineStr">
        <is>
          <t>Dựng platform foundation: docker-compose (postgres, redis, maildev), config service, health check và npm script khởi chạy.</t>
        </is>
      </c>
      <c r="E17" s="30" t="inlineStr">
        <is>
          <t>docker-compose.yml + npm run start:deps / dev:api / dev:worker; hệ thống khởi chạy end-to-end.</t>
        </is>
      </c>
      <c r="F17" s="30" t="inlineStr">
        <is>
          <t>Nguyễn Bảo An</t>
        </is>
      </c>
      <c r="G17" s="30" t="inlineStr">
        <is>
          <t>Nguyễn Lê Thế Vinh</t>
        </is>
      </c>
      <c r="H17" s="30" t="n">
        <v>4</v>
      </c>
      <c r="I17" s="30" t="inlineStr">
        <is>
          <t>Chính</t>
        </is>
      </c>
      <c r="J17" s="41" t="n">
        <v>100</v>
      </c>
      <c r="K17" s="30" t="n">
        <v>5</v>
      </c>
      <c r="L17" s="30" t="inlineStr">
        <is>
          <t>openspec/changes/archive/2026-06-15-implement-platform-foundation/; docker-compose.yml</t>
        </is>
      </c>
      <c r="M17" s="31" t="inlineStr">
        <is>
          <t>Chuẩn hóa môi trường chạy để máy mới clone về là chạy được, không cần hỏi thêm.</t>
        </is>
      </c>
      <c r="N17" s="44">
        <f>IF(F17="","",H17*(J17/100)*(K17/5)*IF(I17="Chính",1.2,IF(I17="Phối hợp",1,0.7)))</f>
        <v/>
      </c>
      <c r="O17" s="84" t="n"/>
      <c r="P17" s="84" t="n"/>
      <c r="Q17" s="84" t="n"/>
    </row>
    <row r="18" ht="13.9" customHeight="1">
      <c r="A18" s="29" t="inlineStr">
        <is>
          <t>T13</t>
        </is>
      </c>
      <c r="B18" s="30" t="inlineStr">
        <is>
          <t>IM01</t>
        </is>
      </c>
      <c r="C18" s="30" t="inlineStr">
        <is>
          <t>Cài đặt</t>
        </is>
      </c>
      <c r="D18" s="30" t="inlineStr">
        <is>
          <t>Xây audience-web foundation và trang khám phá: danh sách/chi tiết concert, tìm kiếm, lọc, hiển thị số vé còn lại.</t>
        </is>
      </c>
      <c r="E18" s="30" t="inlineStr">
        <is>
          <t>apps/audience-web/src/features/concerts/; số vé còn lại hiển thị đúng theo tồn kho.</t>
        </is>
      </c>
      <c r="F18" s="30" t="inlineStr">
        <is>
          <t>Nguyễn Bảo An</t>
        </is>
      </c>
      <c r="G18" s="30" t="inlineStr">
        <is>
          <t>Phạm Quang Vinh</t>
        </is>
      </c>
      <c r="H18" s="30" t="n">
        <v>4</v>
      </c>
      <c r="I18" s="30" t="inlineStr">
        <is>
          <t>Chính</t>
        </is>
      </c>
      <c r="J18" s="41" t="n">
        <v>100</v>
      </c>
      <c r="K18" s="30" t="n">
        <v>5</v>
      </c>
      <c r="L18" s="30" t="inlineStr">
        <is>
          <t>openspec/changes/archive/2026-06-24-establish-audience-web-foundation/; openspec/changes/archive/2026-06-24-implement-audience-discovery/</t>
        </is>
      </c>
      <c r="M18" s="31" t="inlineStr">
        <is>
          <t>Dựng toàn bộ app khán giả bằng React/Vite và luồng khám phá sự kiện.</t>
        </is>
      </c>
      <c r="N18" s="44">
        <f>IF(F18="","",H18*(J18/100)*(K18/5)*IF(I18="Chính",1.2,IF(I18="Phối hợp",1,0.7)))</f>
        <v/>
      </c>
      <c r="O18" s="84" t="n"/>
      <c r="P18" s="84" t="n"/>
      <c r="Q18" s="84" t="n"/>
    </row>
    <row r="19" ht="13.9" customHeight="1">
      <c r="A19" s="29" t="inlineStr">
        <is>
          <t>T14</t>
        </is>
      </c>
      <c r="B19" s="30" t="inlineStr">
        <is>
          <t>IM02</t>
        </is>
      </c>
      <c r="C19" s="30" t="inlineStr">
        <is>
          <t>Cài đặt</t>
        </is>
      </c>
      <c r="D19" s="30" t="inlineStr">
        <is>
          <t>Xây trang tài khoản khán giả và ví vé: xem đơn hàng, vé đã mua, tải lại và gửi lại e-ticket QR.</t>
        </is>
      </c>
      <c r="E19" s="30" t="inlineStr">
        <is>
          <t>apps/audience-web: account, order history, ticket wallet; docs/frontend-ticket-qr-handoff.md.</t>
        </is>
      </c>
      <c r="F19" s="30" t="inlineStr">
        <is>
          <t>Nguyễn Bảo An</t>
        </is>
      </c>
      <c r="G19" s="30" t="inlineStr">
        <is>
          <t>Trương Nhật Đạt</t>
        </is>
      </c>
      <c r="H19" s="30" t="n">
        <v>4</v>
      </c>
      <c r="I19" s="30" t="inlineStr">
        <is>
          <t>Chính</t>
        </is>
      </c>
      <c r="J19" s="41" t="n">
        <v>100</v>
      </c>
      <c r="K19" s="30" t="n">
        <v>5</v>
      </c>
      <c r="L19" s="30" t="inlineStr">
        <is>
          <t>openspec/changes/archive/2026-06-24-implement-audience-account-and-tickets/</t>
        </is>
      </c>
      <c r="M19" s="31" t="inlineStr">
        <is>
          <t>Hoàn thiện phần hậu mua vé để khán giả nhận và sử dụng được e-ticket.</t>
        </is>
      </c>
      <c r="N19" s="44">
        <f>IF(F19="","",H19*(J19/100)*(K19/5)*IF(I19="Chính",1.2,IF(I19="Phối hợp",1,0.7)))</f>
        <v/>
      </c>
      <c r="O19" s="84" t="n"/>
      <c r="P19" s="84" t="n"/>
      <c r="Q19" s="84" t="n"/>
    </row>
    <row r="20" ht="13.9" customHeight="1">
      <c r="A20" s="29" t="inlineStr">
        <is>
          <t>T15</t>
        </is>
      </c>
      <c r="B20" s="30" t="inlineStr">
        <is>
          <t>IM16</t>
        </is>
      </c>
      <c r="C20" s="30" t="inlineStr">
        <is>
          <t>Cài đặt</t>
        </is>
      </c>
      <c r="D20" s="30" t="inlineStr">
        <is>
          <t>Viết README đủ để clone và chạy: prerequisites, biến môi trường, lệnh chạy, ports, tài khoản demo, troubleshooting.</t>
        </is>
      </c>
      <c r="E20" s="30" t="inlineStr">
        <is>
          <t>README.md 267 dòng; máy mới làm theo README chạy được toàn hệ thống.</t>
        </is>
      </c>
      <c r="F20" s="30" t="inlineStr">
        <is>
          <t>Nguyễn Bảo An</t>
        </is>
      </c>
      <c r="G20" s="30" t="inlineStr">
        <is>
          <t>Nguyễn Lê Thế Vinh</t>
        </is>
      </c>
      <c r="H20" s="30" t="n">
        <v>2</v>
      </c>
      <c r="I20" s="30" t="inlineStr">
        <is>
          <t>Chính</t>
        </is>
      </c>
      <c r="J20" s="41" t="n">
        <v>100</v>
      </c>
      <c r="K20" s="30" t="n">
        <v>4</v>
      </c>
      <c r="L20" s="30" t="inlineStr">
        <is>
          <t>README.md</t>
        </is>
      </c>
      <c r="M20" s="31" t="inlineStr">
        <is>
          <t>Viết tài liệu khởi chạy để người chấm không phải hỏi thêm bất kỳ bước nào.</t>
        </is>
      </c>
      <c r="N20" s="44">
        <f>IF(F20="","",H20*(J20/100)*(K20/5)*IF(I20="Chính",1.2,IF(I20="Phối hợp",1,0.7)))</f>
        <v/>
      </c>
      <c r="O20" s="84" t="n"/>
      <c r="P20" s="84" t="n"/>
      <c r="Q20" s="84" t="n"/>
    </row>
    <row r="21" ht="13.9" customHeight="1">
      <c r="A21" s="29" t="inlineStr">
        <is>
          <t>T16</t>
        </is>
      </c>
      <c r="B21" s="30" t="inlineStr">
        <is>
          <t>Mở rộng</t>
        </is>
      </c>
      <c r="C21" s="30" t="inlineStr">
        <is>
          <t>Cài đặt</t>
        </is>
      </c>
      <c r="D21" s="30" t="inlineStr">
        <is>
          <t>Ngoài yêu cầu: xây sàn bán lại vé (resale), P2P escrow, xử lý tranh chấp và tính năng tặng vé.</t>
        </is>
      </c>
      <c r="E21" s="30" t="inlineStr">
        <is>
          <t>openspec changes: official-resale-marketplace, resale-p2p-escrow, resale-platform, gift-ticket.</t>
        </is>
      </c>
      <c r="F21" s="30" t="inlineStr">
        <is>
          <t>Nguyễn Bảo An</t>
        </is>
      </c>
      <c r="G21" s="30" t="n"/>
      <c r="H21" s="30" t="n">
        <v>5</v>
      </c>
      <c r="I21" s="30" t="inlineStr">
        <is>
          <t>Chính</t>
        </is>
      </c>
      <c r="J21" s="41" t="n">
        <v>100</v>
      </c>
      <c r="K21" s="30" t="n">
        <v>4</v>
      </c>
      <c r="L21" s="30" t="inlineStr">
        <is>
          <t>openspec/changes/archive/2026-07-05-official-resale-marketplace/; openspec/changes/archive/2026-07-05-resale-p2p-escrow/; openspec/changes/archive/2026-07-06-gift-ticket/</t>
        </is>
      </c>
      <c r="M21" s="31" t="inlineStr">
        <is>
          <t>Mở rộng vượt yêu cầu: sàn giao dịch lại vé có escrow và cơ chế xử lý tranh chấp.</t>
        </is>
      </c>
      <c r="N21" s="44">
        <f>IF(F21="","",H21*(J21/100)*(K21/5)*IF(I21="Chính",1.2,IF(I21="Phối hợp",1,0.7)))</f>
        <v/>
      </c>
      <c r="O21" s="84" t="n"/>
      <c r="P21" s="84" t="n"/>
      <c r="Q21" s="84" t="n"/>
    </row>
    <row r="22" ht="13.9" customHeight="1">
      <c r="A22" s="29" t="inlineStr">
        <is>
          <t>T17</t>
        </is>
      </c>
      <c r="B22" s="30" t="inlineStr">
        <is>
          <t>BP07</t>
        </is>
      </c>
      <c r="C22" s="30" t="inlineStr">
        <is>
          <t>Blueprint</t>
        </is>
      </c>
      <c r="D22" s="30" t="inlineStr">
        <is>
          <t>Đặc tả luồng soát vé khi mất mạng và đồng bộ lại, chống vé vào hai lần khi hai thiết bị offline cùng quét một QR.</t>
        </is>
      </c>
      <c r="E22" s="30" t="inlineStr">
        <is>
          <t>blueprint/design.md — "Offline check-in and sync"; docs/manual-tests/checkin-offline-sync.md.</t>
        </is>
      </c>
      <c r="F22" s="30" t="inlineStr">
        <is>
          <t>Nguyễn Lê Thế Vinh</t>
        </is>
      </c>
      <c r="G22" s="30" t="n"/>
      <c r="H22" s="30" t="n">
        <v>5</v>
      </c>
      <c r="I22" s="30" t="inlineStr">
        <is>
          <t>Chính</t>
        </is>
      </c>
      <c r="J22" s="41" t="n">
        <v>100</v>
      </c>
      <c r="K22" s="30" t="n">
        <v>5</v>
      </c>
      <c r="L22" s="30" t="inlineStr">
        <is>
          <t>blueprint/design.md — "Offline check-in and sync"</t>
        </is>
      </c>
      <c r="M22" s="31" t="inlineStr">
        <is>
          <t>Thiết kế conflict resolution: server là trọng tài, lần quét sau bị đánh dấu DUPLICATE.</t>
        </is>
      </c>
      <c r="N22" s="44">
        <f>IF(F22="","",H22*(J22/100)*(K22/5)*IF(I22="Chính",1.2,IF(I22="Phối hợp",1,0.7)))</f>
        <v/>
      </c>
      <c r="O22" s="84" t="n"/>
      <c r="P22" s="84" t="n"/>
      <c r="Q22" s="84" t="n"/>
    </row>
    <row r="23" ht="13.9" customHeight="1">
      <c r="A23" s="29" t="inlineStr">
        <is>
          <t>T18</t>
        </is>
      </c>
      <c r="B23" s="30" t="inlineStr">
        <is>
          <t>BP08</t>
        </is>
      </c>
      <c r="C23" s="30" t="inlineStr">
        <is>
          <t>Blueprint</t>
        </is>
      </c>
      <c r="D23" s="30" t="inlineStr">
        <is>
          <t>Đặc tả luồng nhập Guest List CSV: validate header và từng dòng, phát hiện trùng, import idempotent khi nhập lại.</t>
        </is>
      </c>
      <c r="E23" s="30" t="inlineStr">
        <is>
          <t>blueprint/design.md — "Guest list CSV import"; docs/manual-tests/guest-list-import.md.</t>
        </is>
      </c>
      <c r="F23" s="30" t="inlineStr">
        <is>
          <t>Nguyễn Lê Thế Vinh</t>
        </is>
      </c>
      <c r="G23" s="30" t="inlineStr">
        <is>
          <t>Trương Nhật Đạt</t>
        </is>
      </c>
      <c r="H23" s="30" t="n">
        <v>4</v>
      </c>
      <c r="I23" s="30" t="inlineStr">
        <is>
          <t>Chính</t>
        </is>
      </c>
      <c r="J23" s="41" t="n">
        <v>100</v>
      </c>
      <c r="K23" s="30" t="n">
        <v>5</v>
      </c>
      <c r="L23" s="30" t="inlineStr">
        <is>
          <t>blueprint/design.md — "Guest list CSV import"</t>
        </is>
      </c>
      <c r="M23" s="31" t="inlineStr">
        <is>
          <t>Thiết kế import idempotent để nhập lại cùng một file không tạo khách trùng.</t>
        </is>
      </c>
      <c r="N23" s="44">
        <f>IF(F23="","",H23*(J23/100)*(K23/5)*IF(I23="Chính",1.2,IF(I23="Phối hợp",1,0.7)))</f>
        <v/>
      </c>
      <c r="O23" s="84" t="n"/>
      <c r="P23" s="84" t="n"/>
      <c r="Q23" s="84" t="n"/>
    </row>
    <row r="24" ht="13.9" customHeight="1">
      <c r="A24" s="29" t="inlineStr">
        <is>
          <t>T19</t>
        </is>
      </c>
      <c r="B24" s="30" t="inlineStr">
        <is>
          <t>IM07</t>
        </is>
      </c>
      <c r="C24" s="30" t="inlineStr">
        <is>
          <t>Cài đặt</t>
        </is>
      </c>
      <c r="D24" s="30" t="inlineStr">
        <is>
          <t>Xây app soát vé React Native: đăng nhập staff, chọn concert và cổng, màn hình quét QR bằng camera thật.</t>
        </is>
      </c>
      <c r="E24" s="30" t="inlineStr">
        <is>
          <t>apps/checkin-mobile/src/features/scanner/ (ScannerScreen, QrCameraScanner); 77/77 test pass.</t>
        </is>
      </c>
      <c r="F24" s="30" t="inlineStr">
        <is>
          <t>Nguyễn Lê Thế Vinh</t>
        </is>
      </c>
      <c r="G24" s="30" t="n"/>
      <c r="H24" s="30" t="n">
        <v>5</v>
      </c>
      <c r="I24" s="30" t="inlineStr">
        <is>
          <t>Chính</t>
        </is>
      </c>
      <c r="J24" s="41" t="n">
        <v>100</v>
      </c>
      <c r="K24" s="30" t="n">
        <v>5</v>
      </c>
      <c r="L24" s="30" t="inlineStr">
        <is>
          <t>openspec/changes/archive/2026-06-16-implement-checkin-mobile-app/; openspec/changes/archive/2026-06-24-add-camera-qr-scan/</t>
        </is>
      </c>
      <c r="M24" s="31" t="inlineStr">
        <is>
          <t>Xây toàn bộ app mobile soát vé từ đầu, gồm quét QR bằng camera trên thiết bị thật.</t>
        </is>
      </c>
      <c r="N24" s="44">
        <f>IF(F24="","",H24*(J24/100)*(K24/5)*IF(I24="Chính",1.2,IF(I24="Phối hợp",1,0.7)))</f>
        <v/>
      </c>
      <c r="O24" s="84" t="n"/>
      <c r="P24" s="84" t="n"/>
      <c r="Q24" s="84" t="n"/>
    </row>
    <row r="25" ht="13.9" customHeight="1">
      <c r="A25" s="29" t="inlineStr">
        <is>
          <t>T20</t>
        </is>
      </c>
      <c r="B25" s="30" t="inlineStr">
        <is>
          <t>IM08</t>
        </is>
      </c>
      <c r="C25" s="30" t="inlineStr">
        <is>
          <t>Cài đặt</t>
        </is>
      </c>
      <c r="D25" s="30" t="inlineStr">
        <is>
          <t>Cài check-in API và batch sync: hash QR token, xác thực vé, ghi nhận check-in, chống double check-in.</t>
        </is>
      </c>
      <c r="E25" s="30" t="inlineStr">
        <is>
          <t>packages/backend/src/checkin/ + batch-sync.use-case.spec.ts pass; docs/manual-tests/checkin-api.md.</t>
        </is>
      </c>
      <c r="F25" s="30" t="inlineStr">
        <is>
          <t>Nguyễn Lê Thế Vinh</t>
        </is>
      </c>
      <c r="G25" s="30" t="n"/>
      <c r="H25" s="30" t="n">
        <v>5</v>
      </c>
      <c r="I25" s="30" t="inlineStr">
        <is>
          <t>Chính</t>
        </is>
      </c>
      <c r="J25" s="41" t="n">
        <v>100</v>
      </c>
      <c r="K25" s="30" t="n">
        <v>5</v>
      </c>
      <c r="L25" s="30" t="inlineStr">
        <is>
          <t>openspec/changes/archive/2026-06-17-implement-checkin-api/; packages/backend/src/checkin/application/use-cases/batch-sync.use-case.ts</t>
        </is>
      </c>
      <c r="M25" s="31" t="inlineStr">
        <is>
          <t>Cài lớp server xác thực vé và giải quyết xung đột khi nhiều thiết bị cùng đồng bộ.</t>
        </is>
      </c>
      <c r="N25" s="44">
        <f>IF(F25="","",H25*(J25/100)*(K25/5)*IF(I25="Chính",1.2,IF(I25="Phối hợp",1,0.7)))</f>
        <v/>
      </c>
      <c r="O25" s="84" t="n"/>
      <c r="P25" s="84" t="n"/>
      <c r="Q25" s="84" t="n"/>
    </row>
    <row r="26" ht="13.9" customHeight="1">
      <c r="A26" s="29" t="inlineStr">
        <is>
          <t>T21</t>
        </is>
      </c>
      <c r="B26" s="30" t="inlineStr">
        <is>
          <t>IM08</t>
        </is>
      </c>
      <c r="C26" s="30" t="inlineStr">
        <is>
          <t>Cài đặt</t>
        </is>
      </c>
      <c r="D26" s="30" t="inlineStr">
        <is>
          <t>Cài soát vé offline: hàng đợi cục bộ, cache vé trên máy, đồng bộ khi có mạng, không mất dữ liệu.</t>
        </is>
      </c>
      <c r="E26" s="30" t="inlineStr">
        <is>
          <t>apps/checkin-mobile/src/features/offline-queue/ và ticket-cache/; test bật/tắt mạng pass.</t>
        </is>
      </c>
      <c r="F26" s="30" t="inlineStr">
        <is>
          <t>Nguyễn Lê Thế Vinh</t>
        </is>
      </c>
      <c r="G26" s="30" t="n"/>
      <c r="H26" s="30" t="n">
        <v>5</v>
      </c>
      <c r="I26" s="30" t="inlineStr">
        <is>
          <t>Chính</t>
        </is>
      </c>
      <c r="J26" s="41" t="n">
        <v>100</v>
      </c>
      <c r="K26" s="30" t="n">
        <v>5</v>
      </c>
      <c r="L26" s="30" t="inlineStr">
        <is>
          <t>openspec/changes/archive/2026-06-23-implement-checkin-offline-sync/; openspec/changes/archive/2026-06-24-offline-ticket-cache-sync/</t>
        </is>
      </c>
      <c r="M26" s="31" t="inlineStr">
        <is>
          <t>Cài offline queue và cơ chế sync có xử lý xung đột, đúng theo thiết kế BP07.</t>
        </is>
      </c>
      <c r="N26" s="44">
        <f>IF(F26="","",H26*(J26/100)*(K26/5)*IF(I26="Chính",1.2,IF(I26="Phối hợp",1,0.7)))</f>
        <v/>
      </c>
      <c r="O26" s="84" t="n"/>
      <c r="P26" s="84" t="n"/>
      <c r="Q26" s="84" t="n"/>
    </row>
    <row r="27" ht="13.9" customHeight="1">
      <c r="A27" s="29" t="inlineStr">
        <is>
          <t>T22</t>
        </is>
      </c>
      <c r="B27" s="30" t="inlineStr">
        <is>
          <t>IM04</t>
        </is>
      </c>
      <c r="C27" s="30" t="inlineStr">
        <is>
          <t>Cài đặt</t>
        </is>
      </c>
      <c r="D27" s="30" t="inlineStr">
        <is>
          <t>Xây module notification: abstraction đa kênh (in-app, email), queue BullMQ, retry/backoff và dedupe key.</t>
        </is>
      </c>
      <c r="E27" s="30" t="inlineStr">
        <is>
          <t>packages/backend/src/notification/; thêm kênh mới không phải sửa logic mua vé.</t>
        </is>
      </c>
      <c r="F27" s="30" t="inlineStr">
        <is>
          <t>Nguyễn Lê Thế Vinh</t>
        </is>
      </c>
      <c r="G27" s="30" t="inlineStr">
        <is>
          <t>Nguyễn Bảo An</t>
        </is>
      </c>
      <c r="H27" s="30" t="n">
        <v>4</v>
      </c>
      <c r="I27" s="30" t="inlineStr">
        <is>
          <t>Chính</t>
        </is>
      </c>
      <c r="J27" s="41" t="n">
        <v>100</v>
      </c>
      <c r="K27" s="30" t="n">
        <v>5</v>
      </c>
      <c r="L27" s="30" t="inlineStr">
        <is>
          <t>openspec/changes/archive/2026-06-16-implement-notification-delivery/; packages/backend/src/notification/</t>
        </is>
      </c>
      <c r="M27" s="31" t="inlineStr">
        <is>
          <t>Thiết kế port đa kênh để mở rộng (ví dụ Zalo OA) mà không đụng vào nghiệp vụ mua vé.</t>
        </is>
      </c>
      <c r="N27" s="44">
        <f>IF(F27="","",H27*(J27/100)*(K27/5)*IF(I27="Chính",1.2,IF(I27="Phối hợp",1,0.7)))</f>
        <v/>
      </c>
      <c r="O27" s="84" t="n"/>
      <c r="P27" s="84" t="n"/>
      <c r="Q27" s="84" t="n"/>
    </row>
    <row r="28" ht="13.9" customHeight="1">
      <c r="A28" s="29" t="inlineStr">
        <is>
          <t>T23</t>
        </is>
      </c>
      <c r="B28" s="30" t="inlineStr">
        <is>
          <t>IM04</t>
        </is>
      </c>
      <c r="C28" s="30" t="inlineStr">
        <is>
          <t>Cài đặt</t>
        </is>
      </c>
      <c r="D28" s="30" t="inlineStr">
        <is>
          <t>Cài nhắc lịch trước 24 giờ bằng worker quét định kỳ, gửi email SMTP thật và thông báo realtime qua SSE.</t>
        </is>
      </c>
      <c r="E28" s="30" t="inlineStr">
        <is>
          <t>concert-reminder.processor.ts + send-concert-reminders.use-case.ts; docs/manual-tests/concert-reminders.md.</t>
        </is>
      </c>
      <c r="F28" s="30" t="inlineStr">
        <is>
          <t>Nguyễn Lê Thế Vinh</t>
        </is>
      </c>
      <c r="G28" s="30" t="n"/>
      <c r="H28" s="30" t="n">
        <v>4</v>
      </c>
      <c r="I28" s="30" t="inlineStr">
        <is>
          <t>Chính</t>
        </is>
      </c>
      <c r="J28" s="41" t="n">
        <v>100</v>
      </c>
      <c r="K28" s="30" t="n">
        <v>5</v>
      </c>
      <c r="L28" s="30" t="inlineStr">
        <is>
          <t>openspec/changes/archive/2026-06-23-implement-concert-reminders/; openspec/changes/archive/2026-06-24-enable-authenticated-smtp-email/</t>
        </is>
      </c>
      <c r="M28" s="31" t="inlineStr">
        <is>
          <t>Cài job nhắc lịch idempotent (không gửi trùng) và kênh thông báo realtime SSE.</t>
        </is>
      </c>
      <c r="N28" s="44">
        <f>IF(F28="","",H28*(J28/100)*(K28/5)*IF(I28="Chính",1.2,IF(I28="Phối hợp",1,0.7)))</f>
        <v/>
      </c>
      <c r="O28" s="84" t="n"/>
      <c r="P28" s="84" t="n"/>
      <c r="Q28" s="84" t="n"/>
    </row>
    <row r="29" ht="13.9" customHeight="1">
      <c r="A29" s="29" t="inlineStr">
        <is>
          <t>T24</t>
        </is>
      </c>
      <c r="B29" s="30" t="inlineStr">
        <is>
          <t>IM09</t>
        </is>
      </c>
      <c r="C29" s="30" t="inlineStr">
        <is>
          <t>Cài đặt</t>
        </is>
      </c>
      <c r="D29" s="30" t="inlineStr">
        <is>
          <t>Xây pipeline AI Artist Bio: upload PDF press kit, validate, trích và làm sạch text, gọi Gemini, fallback cục bộ, retry khi lỗi.</t>
        </is>
      </c>
      <c r="E29" s="30" t="inlineStr">
        <is>
          <t>packages/backend/src/ai-artist-bio/ (pdf-validation, pdf text extractor, gemini adapter, processor); 12 file test pass.</t>
        </is>
      </c>
      <c r="F29" s="30" t="inlineStr">
        <is>
          <t>Nguyễn Lê Thế Vinh</t>
        </is>
      </c>
      <c r="G29" s="30" t="inlineStr">
        <is>
          <t>Phạm Quang Vinh</t>
        </is>
      </c>
      <c r="H29" s="30" t="n">
        <v>5</v>
      </c>
      <c r="I29" s="30" t="inlineStr">
        <is>
          <t>Chính</t>
        </is>
      </c>
      <c r="J29" s="41" t="n">
        <v>100</v>
      </c>
      <c r="K29" s="30" t="n">
        <v>5</v>
      </c>
      <c r="L29" s="30" t="inlineStr">
        <is>
          <t>openspec/changes/archive/2026-06-18-implement-ai-artist-bio/; packages/backend/src/ai-artist-bio/</t>
        </is>
      </c>
      <c r="M29" s="31" t="inlineStr">
        <is>
          <t>Xây toàn bộ pipeline PDF sang bio, gồm xử lý PDF lỗi và provider fallback khi AI chết.</t>
        </is>
      </c>
      <c r="N29" s="44">
        <f>IF(F29="","",H29*(J29/100)*(K29/5)*IF(I29="Chính",1.2,IF(I29="Phối hợp",1,0.7)))</f>
        <v/>
      </c>
      <c r="O29" s="84" t="n"/>
      <c r="P29" s="84" t="n"/>
      <c r="Q29" s="84" t="n"/>
    </row>
    <row r="30" ht="13.9" customHeight="1">
      <c r="A30" s="29" t="inlineStr">
        <is>
          <t>T25</t>
        </is>
      </c>
      <c r="B30" s="30" t="inlineStr">
        <is>
          <t>IM10</t>
        </is>
      </c>
      <c r="C30" s="30" t="inlineStr">
        <is>
          <t>Cài đặt</t>
        </is>
      </c>
      <c r="D30" s="30" t="inlineStr">
        <is>
          <t>Xây import Guest List CSV: worker quét file định kỳ, validate header và dòng, phát hiện trùng, báo cáo lỗi, import idempotent.</t>
        </is>
      </c>
      <c r="E30" s="30" t="inlineStr">
        <is>
          <t>packages/backend/src/guest-list-import/; test/guest-list/guest-list.e2e-spec.ts pass.</t>
        </is>
      </c>
      <c r="F30" s="30" t="inlineStr">
        <is>
          <t>Nguyễn Lê Thế Vinh</t>
        </is>
      </c>
      <c r="G30" s="30" t="inlineStr">
        <is>
          <t>Trương Nhật Đạt</t>
        </is>
      </c>
      <c r="H30" s="30" t="n">
        <v>5</v>
      </c>
      <c r="I30" s="30" t="inlineStr">
        <is>
          <t>Chính</t>
        </is>
      </c>
      <c r="J30" s="41" t="n">
        <v>100</v>
      </c>
      <c r="K30" s="30" t="n">
        <v>5</v>
      </c>
      <c r="L30" s="30" t="inlineStr">
        <is>
          <t>openspec/changes/archive/2026-06-21-implement-guest-list-import/; packages/backend/src/guest-list-import/</t>
        </is>
      </c>
      <c r="M30" s="31" t="inlineStr">
        <is>
          <t>Cài job import chịu lỗi: file hỏng không làm sập hệ thống, nhập lại không tạo khách trùng.</t>
        </is>
      </c>
      <c r="N30" s="44">
        <f>IF(F30="","",H30*(J30/100)*(K30/5)*IF(I30="Chính",1.2,IF(I30="Phối hợp",1,0.7)))</f>
        <v/>
      </c>
      <c r="O30" s="84" t="n"/>
      <c r="P30" s="84" t="n"/>
      <c r="Q30" s="84" t="n"/>
    </row>
    <row r="31" ht="13.9" customHeight="1">
      <c r="A31" s="29" t="inlineStr">
        <is>
          <t>T26</t>
        </is>
      </c>
      <c r="B31" s="30" t="inlineStr">
        <is>
          <t>IM01</t>
        </is>
      </c>
      <c r="C31" s="30" t="inlineStr">
        <is>
          <t>Cài đặt</t>
        </is>
      </c>
      <c r="D31" s="30" t="inlineStr">
        <is>
          <t>Thiết lập package @ticketbox/api-types: contract Zod dùng chung giữa backend, web và mobile.</t>
        </is>
      </c>
      <c r="E31" s="30" t="inlineStr">
        <is>
          <t>packages/api-types/; client parse response bằng đúng schema backend dùng.</t>
        </is>
      </c>
      <c r="F31" s="30" t="inlineStr">
        <is>
          <t>Nguyễn Lê Thế Vinh</t>
        </is>
      </c>
      <c r="G31" s="30" t="inlineStr">
        <is>
          <t>Nguyễn Bảo An</t>
        </is>
      </c>
      <c r="H31" s="30" t="n">
        <v>4</v>
      </c>
      <c r="I31" s="30" t="inlineStr">
        <is>
          <t>Chính</t>
        </is>
      </c>
      <c r="J31" s="41" t="n">
        <v>100</v>
      </c>
      <c r="K31" s="30" t="n">
        <v>5</v>
      </c>
      <c r="L31" s="30" t="inlineStr">
        <is>
          <t>openspec/changes/archive/2026-06-20-establish-shared-api-types/; packages/api-types/</t>
        </is>
      </c>
      <c r="M31" s="31" t="inlineStr">
        <is>
          <t>Chuẩn hóa wire contract một nguồn duy nhất, tránh lệch kiểu giữa backend và frontend.</t>
        </is>
      </c>
      <c r="N31" s="44">
        <f>IF(F31="","",H31*(J31/100)*(K31/5)*IF(I31="Chính",1.2,IF(I31="Phối hợp",1,0.7)))</f>
        <v/>
      </c>
      <c r="O31" s="84" t="n"/>
      <c r="P31" s="84" t="n"/>
      <c r="Q31" s="84" t="n"/>
    </row>
    <row r="32" ht="13.9" customHeight="1">
      <c r="A32" s="29" t="inlineStr">
        <is>
          <t>T27</t>
        </is>
      </c>
      <c r="B32" s="30" t="inlineStr">
        <is>
          <t>IM17</t>
        </is>
      </c>
      <c r="C32" s="30" t="inlineStr">
        <is>
          <t>Cài đặt</t>
        </is>
      </c>
      <c r="D32" s="30" t="inlineStr">
        <is>
          <t>Mở rộng seed data demo: thêm concert, loại vé, sơ đồ khu và tài khoản demo đủ 4 role.</t>
        </is>
      </c>
      <c r="E32" s="30" t="inlineStr">
        <is>
          <t>openspec change expand-demo-seed-data; prisma/seed.ts.</t>
        </is>
      </c>
      <c r="F32" s="30" t="inlineStr">
        <is>
          <t>Nguyễn Lê Thế Vinh</t>
        </is>
      </c>
      <c r="G32" s="30" t="inlineStr">
        <is>
          <t>Nguyễn Bảo An</t>
        </is>
      </c>
      <c r="H32" s="30" t="n">
        <v>2</v>
      </c>
      <c r="I32" s="30" t="inlineStr">
        <is>
          <t>Phối hợp</t>
        </is>
      </c>
      <c r="J32" s="41" t="n">
        <v>100</v>
      </c>
      <c r="K32" s="30" t="n">
        <v>4</v>
      </c>
      <c r="L32" s="30" t="inlineStr">
        <is>
          <t>openspec/changes/archive/2026-06-27-expand-demo-seed-data/</t>
        </is>
      </c>
      <c r="M32" s="31" t="inlineStr">
        <is>
          <t>Bổ sung dữ liệu demo phong phú để quay video và phục vụ vấn đáp.</t>
        </is>
      </c>
      <c r="N32" s="44">
        <f>IF(F32="","",H32*(J32/100)*(K32/5)*IF(I32="Chính",1.2,IF(I32="Phối hợp",1,0.7)))</f>
        <v/>
      </c>
      <c r="O32" s="84" t="n"/>
      <c r="P32" s="84" t="n"/>
      <c r="Q32" s="84" t="n"/>
    </row>
    <row r="33" ht="13.9" customHeight="1">
      <c r="A33" s="29" t="inlineStr">
        <is>
          <t>T28</t>
        </is>
      </c>
      <c r="B33" s="30" t="inlineStr">
        <is>
          <t>KT</t>
        </is>
      </c>
      <c r="C33" s="30" t="inlineStr">
        <is>
          <t>Kiểm thử</t>
        </is>
      </c>
      <c r="D33" s="30" t="inlineStr">
        <is>
          <t>Viết tài liệu manual test cho các luồng khó: offline sync, guest list, AI bio, reminders, waiting room, lottery.</t>
        </is>
      </c>
      <c r="E33" s="30" t="inlineStr">
        <is>
          <t>docs/manual-tests/ gồm 12 file kịch bản kiểm thử tay tái hiện được.</t>
        </is>
      </c>
      <c r="F33" s="30" t="inlineStr">
        <is>
          <t>Nguyễn Lê Thế Vinh</t>
        </is>
      </c>
      <c r="G33" s="30" t="inlineStr">
        <is>
          <t>Trương Nhật Đạt</t>
        </is>
      </c>
      <c r="H33" s="30" t="n">
        <v>3</v>
      </c>
      <c r="I33" s="30" t="inlineStr">
        <is>
          <t>Chính</t>
        </is>
      </c>
      <c r="J33" s="41" t="n">
        <v>100</v>
      </c>
      <c r="K33" s="30" t="n">
        <v>4</v>
      </c>
      <c r="L33" s="30" t="inlineStr">
        <is>
          <t>docs/manual-tests/</t>
        </is>
      </c>
      <c r="M33" s="31" t="inlineStr">
        <is>
          <t>Chuẩn hóa kịch bản kiểm thử tay để cả nhóm và giảng viên tái hiện được lỗi.</t>
        </is>
      </c>
      <c r="N33" s="44">
        <f>IF(F33="","",H33*(J33/100)*(K33/5)*IF(I33="Chính",1.2,IF(I33="Phối hợp",1,0.7)))</f>
        <v/>
      </c>
      <c r="O33" s="84" t="n"/>
      <c r="P33" s="84" t="n"/>
      <c r="Q33" s="84" t="n"/>
    </row>
    <row r="34" ht="13.9" customHeight="1">
      <c r="A34" s="29" t="inlineStr">
        <is>
          <t>T29</t>
        </is>
      </c>
      <c r="B34" s="30" t="inlineStr">
        <is>
          <t>Mở rộng</t>
        </is>
      </c>
      <c r="C34" s="30" t="inlineStr">
        <is>
          <t>Cài đặt</t>
        </is>
      </c>
      <c r="D34" s="30" t="inlineStr">
        <is>
          <t>Ngoài yêu cầu: Official Waitlist (báo khi có vé), Presale Lottery (bốc thăm) và Virtual Waiting Room (phòng chờ ảo).</t>
        </is>
      </c>
      <c r="E34" s="30" t="inlineStr">
        <is>
          <t>3 openspec change kèm refactor về mô hình public-pool; toàn bộ test liên quan pass.</t>
        </is>
      </c>
      <c r="F34" s="30" t="inlineStr">
        <is>
          <t>Nguyễn Lê Thế Vinh</t>
        </is>
      </c>
      <c r="G34" s="30" t="n"/>
      <c r="H34" s="30" t="n">
        <v>5</v>
      </c>
      <c r="I34" s="30" t="inlineStr">
        <is>
          <t>Chính</t>
        </is>
      </c>
      <c r="J34" s="41" t="n">
        <v>100</v>
      </c>
      <c r="K34" s="30" t="n">
        <v>5</v>
      </c>
      <c r="L34" s="30" t="inlineStr">
        <is>
          <t>openspec/changes/archive/2026-07-08-add-official-waitlist/; openspec/changes/archive/2026-07-09-add-presale-lottery/; openspec/changes/archive/2026-07-10-add-virtual-waiting-room/</t>
        </is>
      </c>
      <c r="M34" s="31" t="inlineStr">
        <is>
          <t>Mở rộng vượt yêu cầu: 3 cơ chế xử lý tình huống cầu vượt cung khi bán vé hot.</t>
        </is>
      </c>
      <c r="N34" s="44">
        <f>IF(F34="","",H34*(J34/100)*(K34/5)*IF(I34="Chính",1.2,IF(I34="Phối hợp",1,0.7)))</f>
        <v/>
      </c>
      <c r="O34" s="84" t="n"/>
      <c r="P34" s="84" t="n"/>
      <c r="Q34" s="84" t="n"/>
    </row>
    <row r="35" ht="13.9" customHeight="1">
      <c r="A35" s="29" t="inlineStr">
        <is>
          <t>T30</t>
        </is>
      </c>
      <c r="B35" s="30" t="inlineStr">
        <is>
          <t>BP13</t>
        </is>
      </c>
      <c r="C35" s="30" t="inlineStr">
        <is>
          <t>Blueprint</t>
        </is>
      </c>
      <c r="D35" s="30" t="inlineStr">
        <is>
          <t>Thiết kế chiến lược caching: cache-aside, TTL khác nhau cho danh sách và chi tiết concert, invalidation khi bán vé.</t>
        </is>
      </c>
      <c r="E35" s="30" t="inlineStr">
        <is>
          <t>blueprint/design.md — Decision 6; nêu rõ TTL từng loại và thời điểm invalidate.</t>
        </is>
      </c>
      <c r="F35" s="30" t="inlineStr">
        <is>
          <t>Phạm Quang Vinh</t>
        </is>
      </c>
      <c r="G35" s="30" t="inlineStr">
        <is>
          <t>Trương Nhật Đạt</t>
        </is>
      </c>
      <c r="H35" s="30" t="n">
        <v>4</v>
      </c>
      <c r="I35" s="30" t="inlineStr">
        <is>
          <t>Chính</t>
        </is>
      </c>
      <c r="J35" s="41" t="n">
        <v>100</v>
      </c>
      <c r="K35" s="30" t="n">
        <v>5</v>
      </c>
      <c r="L35" s="30" t="inlineStr">
        <is>
          <t>blueprint/design.md — Decision 6: cache-aside with active invalidation</t>
        </is>
      </c>
      <c r="M35" s="31" t="inlineStr">
        <is>
          <t>Chọn cache-aside kèm active invalidation và định TTL ngắn cho dữ liệu vé vì dễ lệch.</t>
        </is>
      </c>
      <c r="N35" s="44">
        <f>IF(F35="","",H35*(J35/100)*(K35/5)*IF(I35="Chính",1.2,IF(I35="Phối hợp",1,0.7)))</f>
        <v/>
      </c>
      <c r="O35" s="84" t="n"/>
      <c r="P35" s="84" t="n"/>
      <c r="Q35" s="84" t="n"/>
    </row>
    <row r="36" ht="13.9" customHeight="1">
      <c r="A36" s="29" t="inlineStr">
        <is>
          <t>T31</t>
        </is>
      </c>
      <c r="B36" s="30" t="inlineStr">
        <is>
          <t>IM01</t>
        </is>
      </c>
      <c r="C36" s="30" t="inlineStr">
        <is>
          <t>Cài đặt</t>
        </is>
      </c>
      <c r="D36" s="30" t="inlineStr">
        <is>
          <t>Xây concert catalog backend: API danh sách và chi tiết concert, nghệ sĩ, địa điểm và số vé còn lại.</t>
        </is>
      </c>
      <c r="E36" s="30" t="inlineStr">
        <is>
          <t>packages/backend/src/concert-management/; test/concert-catalog/concert-catalog.e2e-spec.ts pass.</t>
        </is>
      </c>
      <c r="F36" s="30" t="inlineStr">
        <is>
          <t>Phạm Quang Vinh</t>
        </is>
      </c>
      <c r="G36" s="30" t="inlineStr">
        <is>
          <t>Nguyễn Bảo An</t>
        </is>
      </c>
      <c r="H36" s="30" t="n">
        <v>4</v>
      </c>
      <c r="I36" s="30" t="inlineStr">
        <is>
          <t>Chính</t>
        </is>
      </c>
      <c r="J36" s="41" t="n">
        <v>100</v>
      </c>
      <c r="K36" s="30" t="n">
        <v>5</v>
      </c>
      <c r="L36" s="30" t="inlineStr">
        <is>
          <t>openspec/changes/archive/2026-06-16-implement-concert-catalog/; packages/backend/src/concert-management/</t>
        </is>
      </c>
      <c r="M36" s="31" t="inlineStr">
        <is>
          <t>Xây module catalog và API công khai làm nền cho toàn bộ trang khán giả.</t>
        </is>
      </c>
      <c r="N36" s="44">
        <f>IF(F36="","",H36*(J36/100)*(K36/5)*IF(I36="Chính",1.2,IF(I36="Phối hợp",1,0.7)))</f>
        <v/>
      </c>
      <c r="O36" s="84" t="n"/>
      <c r="P36" s="84" t="n"/>
      <c r="Q36" s="84" t="n"/>
    </row>
    <row r="37" ht="13.9" customHeight="1">
      <c r="A37" s="29" t="inlineStr">
        <is>
          <t>T32</t>
        </is>
      </c>
      <c r="B37" s="30" t="inlineStr">
        <is>
          <t>IM15</t>
        </is>
      </c>
      <c r="C37" s="30" t="inlineStr">
        <is>
          <t>Cài đặt</t>
        </is>
      </c>
      <c r="D37" s="30" t="inlineStr">
        <is>
          <t>Cài caching thật bằng Redis: decorator cache-aside cho catalog, TTL theo loại dữ liệu, invalidate khi có thay đổi.</t>
        </is>
      </c>
      <c r="E37" s="30" t="inlineStr">
        <is>
          <t>concert-cache-decorators.ts + .spec.ts pass; có log hit/miss và test consistency.</t>
        </is>
      </c>
      <c r="F37" s="30" t="inlineStr">
        <is>
          <t>Phạm Quang Vinh</t>
        </is>
      </c>
      <c r="G37" s="30" t="inlineStr">
        <is>
          <t>Trương Nhật Đạt</t>
        </is>
      </c>
      <c r="H37" s="30" t="n">
        <v>5</v>
      </c>
      <c r="I37" s="30" t="inlineStr">
        <is>
          <t>Chính</t>
        </is>
      </c>
      <c r="J37" s="41" t="n">
        <v>100</v>
      </c>
      <c r="K37" s="30" t="n">
        <v>5</v>
      </c>
      <c r="L37" s="30" t="inlineStr">
        <is>
          <t>openspec/changes/archive/2026-06-21-implement-concert-caching/; packages/backend/src/concert-management/application/cache/concert-cache-decorators.ts</t>
        </is>
      </c>
      <c r="M37" s="31" t="inlineStr">
        <is>
          <t>Cài cache-aside có invalidation chủ động, tránh hiển thị sai số vé còn lại.</t>
        </is>
      </c>
      <c r="N37" s="44">
        <f>IF(F37="","",H37*(J37/100)*(K37/5)*IF(I37="Chính",1.2,IF(I37="Phối hợp",1,0.7)))</f>
        <v/>
      </c>
      <c r="O37" s="84" t="n"/>
      <c r="P37" s="84" t="n"/>
      <c r="Q37" s="84" t="n"/>
    </row>
    <row r="38" ht="13.9" customHeight="1">
      <c r="A38" s="29" t="inlineStr">
        <is>
          <t>T33</t>
        </is>
      </c>
      <c r="B38" s="30" t="inlineStr">
        <is>
          <t>IM05</t>
        </is>
      </c>
      <c r="C38" s="30" t="inlineStr">
        <is>
          <t>Cài đặt</t>
        </is>
      </c>
      <c r="D38" s="30" t="inlineStr">
        <is>
          <t>Xây quản trị concert cho ban tổ chức: tạo, sửa, hủy concert, cấu hình loại vé và giá, xem doanh thu và lượng bán.</t>
        </is>
      </c>
      <c r="E38" s="30" t="inlineStr">
        <is>
          <t>concert-management backend + apps/web admin/organizer; test/concert-admin e2e pass.</t>
        </is>
      </c>
      <c r="F38" s="30" t="inlineStr">
        <is>
          <t>Phạm Quang Vinh</t>
        </is>
      </c>
      <c r="G38" s="30" t="inlineStr">
        <is>
          <t>Nguyễn Bảo An</t>
        </is>
      </c>
      <c r="H38" s="30" t="n">
        <v>5</v>
      </c>
      <c r="I38" s="30" t="inlineStr">
        <is>
          <t>Chính</t>
        </is>
      </c>
      <c r="J38" s="41" t="n">
        <v>100</v>
      </c>
      <c r="K38" s="30" t="n">
        <v>5</v>
      </c>
      <c r="L38" s="30" t="inlineStr">
        <is>
          <t>openspec/changes/archive/2026-06-16-implement-concert-admin-management/; openspec/changes/archive/2026-06-20-implement-web-concert-management/</t>
        </is>
      </c>
      <c r="M38" s="31" t="inlineStr">
        <is>
          <t>Xây toàn bộ CRUD concert và dashboard doanh thu cho ban tổ chức.</t>
        </is>
      </c>
      <c r="N38" s="44">
        <f>IF(F38="","",H38*(J38/100)*(K38/5)*IF(I38="Chính",1.2,IF(I38="Phối hợp",1,0.7)))</f>
        <v/>
      </c>
      <c r="O38" s="84" t="n"/>
      <c r="P38" s="84" t="n"/>
      <c r="Q38" s="84" t="n"/>
    </row>
    <row r="39" ht="13.9" customHeight="1">
      <c r="A39" s="29" t="inlineStr">
        <is>
          <t>T34</t>
        </is>
      </c>
      <c r="B39" s="30" t="inlineStr">
        <is>
          <t>IM05</t>
        </is>
      </c>
      <c r="C39" s="30" t="inlineStr">
        <is>
          <t>Cài đặt</t>
        </is>
      </c>
      <c r="D39" s="30" t="inlineStr">
        <is>
          <t>Tách quyền admin và organizer trên web, làm dashboard đăng nhập và điều hướng theo role.</t>
        </is>
      </c>
      <c r="E39" s="30" t="inlineStr">
        <is>
          <t>apps/web/src/features/admin/ và organizer/; route guard theo role hoạt động đúng.</t>
        </is>
      </c>
      <c r="F39" s="30" t="inlineStr">
        <is>
          <t>Phạm Quang Vinh</t>
        </is>
      </c>
      <c r="G39" s="30" t="inlineStr">
        <is>
          <t>Nguyễn Bảo An</t>
        </is>
      </c>
      <c r="H39" s="30" t="n">
        <v>4</v>
      </c>
      <c r="I39" s="30" t="inlineStr">
        <is>
          <t>Chính</t>
        </is>
      </c>
      <c r="J39" s="41" t="n">
        <v>100</v>
      </c>
      <c r="K39" s="30" t="n">
        <v>5</v>
      </c>
      <c r="L39" s="30" t="inlineStr">
        <is>
          <t>openspec/changes/archive/2026-06-24-separate-admin-organizer-features/; openspec/changes/archive/2026-06-20-implement-web-login-and-organizer-dashboard/</t>
        </is>
      </c>
      <c r="M39" s="31" t="inlineStr">
        <is>
          <t>Phân tách rõ màn hình admin và organizer, khớp với ma trận RBAC đã thiết kế.</t>
        </is>
      </c>
      <c r="N39" s="44">
        <f>IF(F39="","",H39*(J39/100)*(K39/5)*IF(I39="Chính",1.2,IF(I39="Phối hợp",1,0.7)))</f>
        <v/>
      </c>
      <c r="O39" s="84" t="n"/>
      <c r="P39" s="84" t="n"/>
      <c r="Q39" s="84" t="n"/>
    </row>
    <row r="40" ht="13.9" customHeight="1">
      <c r="A40" s="29" t="inlineStr">
        <is>
          <t>T35</t>
        </is>
      </c>
      <c r="B40" s="30" t="inlineStr">
        <is>
          <t>IM01</t>
        </is>
      </c>
      <c r="C40" s="30" t="inlineStr">
        <is>
          <t>Cài đặt</t>
        </is>
      </c>
      <c r="D40" s="30" t="inlineStr">
        <is>
          <t>Cài sơ đồ chỗ ngồi SVG theo khu: upload seating map, ánh xạ khu với loại vé, render và làm cứng luồng SVG.</t>
        </is>
      </c>
      <c r="E40" s="30" t="inlineStr">
        <is>
          <t>apps/audience-web SeatingZoneMap.tsx + backend seating zone assets; openspec harden-seating-zone-svg-flow.</t>
        </is>
      </c>
      <c r="F40" s="30" t="inlineStr">
        <is>
          <t>Phạm Quang Vinh</t>
        </is>
      </c>
      <c r="G40" s="30" t="inlineStr">
        <is>
          <t>Nguyễn Bảo An</t>
        </is>
      </c>
      <c r="H40" s="30" t="n">
        <v>5</v>
      </c>
      <c r="I40" s="30" t="inlineStr">
        <is>
          <t>Chính</t>
        </is>
      </c>
      <c r="J40" s="41" t="n">
        <v>100</v>
      </c>
      <c r="K40" s="30" t="n">
        <v>5</v>
      </c>
      <c r="L40" s="30" t="inlineStr">
        <is>
          <t>openspec/changes/archive/2026-06-19-implement-seating-map-assets/; openspec/changes/archive/2026-06-24-harden-seating-zone-svg-flow/</t>
        </is>
      </c>
      <c r="M40" s="31" t="inlineStr">
        <is>
          <t>Xây tính năng sơ đồ khu bằng SVG và làm cứng luồng upload chống SVG độc hại.</t>
        </is>
      </c>
      <c r="N40" s="44">
        <f>IF(F40="","",H40*(J40/100)*(K40/5)*IF(I40="Chính",1.2,IF(I40="Phối hợp",1,0.7)))</f>
        <v/>
      </c>
      <c r="O40" s="84" t="n"/>
      <c r="P40" s="84" t="n"/>
      <c r="Q40" s="84" t="n"/>
    </row>
    <row r="41" ht="13.9" customHeight="1">
      <c r="A41" s="29" t="inlineStr">
        <is>
          <t>T36</t>
        </is>
      </c>
      <c r="B41" s="30" t="inlineStr">
        <is>
          <t>IM05</t>
        </is>
      </c>
      <c r="C41" s="30" t="inlineStr">
        <is>
          <t>Cài đặt</t>
        </is>
      </c>
      <c r="D41" s="30" t="inlineStr">
        <is>
          <t>Cài cloud object storage và upload poster/asset concert, phục vụ file tĩnh, xóa asset cũ.</t>
        </is>
      </c>
      <c r="E41" s="30" t="inlineStr">
        <is>
          <t>storage adapter trong platform; openspec cloud-object-storage và concert-poster-upload.</t>
        </is>
      </c>
      <c r="F41" s="30" t="inlineStr">
        <is>
          <t>Phạm Quang Vinh</t>
        </is>
      </c>
      <c r="G41" s="30" t="n"/>
      <c r="H41" s="30" t="n">
        <v>4</v>
      </c>
      <c r="I41" s="30" t="inlineStr">
        <is>
          <t>Chính</t>
        </is>
      </c>
      <c r="J41" s="41" t="n">
        <v>100</v>
      </c>
      <c r="K41" s="30" t="n">
        <v>4</v>
      </c>
      <c r="L41" s="30" t="inlineStr">
        <is>
          <t>openspec/changes/archive/2026-06-19-implement-cloud-object-storage/; openspec/changes/archive/2026-06-20-implement-concert-poster-upload/</t>
        </is>
      </c>
      <c r="M41" s="31" t="inlineStr">
        <is>
          <t>Trừu tượng hóa lưu trữ file (poster, seating map, PDF, CSV) qua một port duy nhất.</t>
        </is>
      </c>
      <c r="N41" s="44">
        <f>IF(F41="","",H41*(J41/100)*(K41/5)*IF(I41="Chính",1.2,IF(I41="Phối hợp",1,0.7)))</f>
        <v/>
      </c>
      <c r="O41" s="84" t="n"/>
      <c r="P41" s="84" t="n"/>
      <c r="Q41" s="84" t="n"/>
    </row>
    <row r="42" ht="13.9" customHeight="1">
      <c r="A42" s="29" t="inlineStr">
        <is>
          <t>T37</t>
        </is>
      </c>
      <c r="B42" s="30" t="inlineStr">
        <is>
          <t>IM05</t>
        </is>
      </c>
      <c r="C42" s="30" t="inlineStr">
        <is>
          <t>Cài đặt</t>
        </is>
      </c>
      <c r="D42" s="30" t="inlineStr">
        <is>
          <t>Xây trình sửa sơ đồ khu và ánh xạ loại vé (venue map zone editor) cùng quản lý địa điểm concert.</t>
        </is>
      </c>
      <c r="E42" s="30" t="inlineStr">
        <is>
          <t>openspec venue-map-zone-ticket-editor và add-concert-location-management.</t>
        </is>
      </c>
      <c r="F42" s="30" t="inlineStr">
        <is>
          <t>Phạm Quang Vinh</t>
        </is>
      </c>
      <c r="G42" s="30" t="n"/>
      <c r="H42" s="30" t="n">
        <v>4</v>
      </c>
      <c r="I42" s="30" t="inlineStr">
        <is>
          <t>Chính</t>
        </is>
      </c>
      <c r="J42" s="41" t="n">
        <v>100</v>
      </c>
      <c r="K42" s="30" t="n">
        <v>4</v>
      </c>
      <c r="L42" s="30" t="inlineStr">
        <is>
          <t>openspec/changes/archive/2026-06-24-venue-map-zone-ticket-editor/; openspec/changes/archive/2026-07-05-add-concert-location-management/</t>
        </is>
      </c>
      <c r="M42" s="31" t="inlineStr">
        <is>
          <t>Cho ban tổ chức tự cấu hình khu ngồi và địa điểm mà không cần sửa code.</t>
        </is>
      </c>
      <c r="N42" s="44">
        <f>IF(F42="","",H42*(J42/100)*(K42/5)*IF(I42="Chính",1.2,IF(I42="Phối hợp",1,0.7)))</f>
        <v/>
      </c>
      <c r="O42" s="84" t="n"/>
      <c r="P42" s="84" t="n"/>
      <c r="Q42" s="84" t="n"/>
    </row>
    <row r="43" ht="13.9" customHeight="1">
      <c r="A43" s="29" t="inlineStr">
        <is>
          <t>T38</t>
        </is>
      </c>
      <c r="B43" s="30" t="inlineStr">
        <is>
          <t>IM06</t>
        </is>
      </c>
      <c r="C43" s="30" t="inlineStr">
        <is>
          <t>Cài đặt</t>
        </is>
      </c>
      <c r="D43" s="30" t="inlineStr">
        <is>
          <t>Tạo hàng loạt tài khoản staff soát vé và xuất PDF thông tin đăng nhập có mật khẩu bảo vệ.</t>
        </is>
      </c>
      <c r="E43" s="30" t="inlineStr">
        <is>
          <t>apps/web BulkCreateStaffPanel + credential-pdf; openspec bulk-checkin-staff-credential-pdf.</t>
        </is>
      </c>
      <c r="F43" s="30" t="inlineStr">
        <is>
          <t>Phạm Quang Vinh</t>
        </is>
      </c>
      <c r="G43" s="30" t="inlineStr">
        <is>
          <t>Nguyễn Bảo An</t>
        </is>
      </c>
      <c r="H43" s="30" t="n">
        <v>4</v>
      </c>
      <c r="I43" s="30" t="inlineStr">
        <is>
          <t>Chính</t>
        </is>
      </c>
      <c r="J43" s="41" t="n">
        <v>100</v>
      </c>
      <c r="K43" s="30" t="n">
        <v>4</v>
      </c>
      <c r="L43" s="30" t="inlineStr">
        <is>
          <t>openspec/changes/archive/2026-06-25-bulk-checkin-staff-credential-pdf/</t>
        </is>
      </c>
      <c r="M43" s="31" t="inlineStr">
        <is>
          <t>Cài luồng cấp tài khoản staff hàng loạt kèm file PDF được bảo vệ bằng mật khẩu.</t>
        </is>
      </c>
      <c r="N43" s="44">
        <f>IF(F43="","",H43*(J43/100)*(K43/5)*IF(I43="Chính",1.2,IF(I43="Phối hợp",1,0.7)))</f>
        <v/>
      </c>
      <c r="O43" s="84" t="n"/>
      <c r="P43" s="84" t="n"/>
      <c r="Q43" s="84" t="n"/>
    </row>
    <row r="44" ht="13.9" customHeight="1">
      <c r="A44" s="29" t="inlineStr">
        <is>
          <t>T39</t>
        </is>
      </c>
      <c r="B44" s="30" t="inlineStr">
        <is>
          <t>IM09</t>
        </is>
      </c>
      <c r="C44" s="30" t="inlineStr">
        <is>
          <t>Cài đặt</t>
        </is>
      </c>
      <c r="D44" s="30" t="inlineStr">
        <is>
          <t>Làm giao diện quản lý AI Artist Bio (hỗ trợ phần UI): upload PDF, poll trạng thái, xem bản nháp, duyệt hoặc từ chối.</t>
        </is>
      </c>
      <c r="E44" s="30" t="inlineStr">
        <is>
          <t>apps/web/src/features/artist-bio/ArtistBioPanel.tsx + api/hooks/validation; 39/39 test UI pass.</t>
        </is>
      </c>
      <c r="F44" s="30" t="inlineStr">
        <is>
          <t>Phạm Quang Vinh</t>
        </is>
      </c>
      <c r="G44" s="30" t="inlineStr">
        <is>
          <t>Nguyễn Lê Thế Vinh</t>
        </is>
      </c>
      <c r="H44" s="30" t="n">
        <v>3</v>
      </c>
      <c r="I44" s="30" t="inlineStr">
        <is>
          <t>Phối hợp</t>
        </is>
      </c>
      <c r="J44" s="41" t="n">
        <v>100</v>
      </c>
      <c r="K44" s="30" t="n">
        <v>5</v>
      </c>
      <c r="L44" s="30" t="inlineStr">
        <is>
          <t>apps/web/src/features/artist-bio/</t>
        </is>
      </c>
      <c r="M44" s="31" t="inlineStr">
        <is>
          <t>Hỗ trợ Thế Vinh hoàn thiện phần giao diện cho pipeline AI bio đã có ở backend.</t>
        </is>
      </c>
      <c r="N44" s="44">
        <f>IF(F44="","",H44*(J44/100)*(K44/5)*IF(I44="Chính",1.2,IF(I44="Phối hợp",1,0.7)))</f>
        <v/>
      </c>
      <c r="O44" s="84" t="n"/>
      <c r="P44" s="84" t="n"/>
      <c r="Q44" s="84" t="n"/>
    </row>
    <row r="45" ht="13.9" customHeight="1">
      <c r="A45" s="29" t="inlineStr">
        <is>
          <t>T40</t>
        </is>
      </c>
      <c r="B45" s="30" t="inlineStr">
        <is>
          <t>IM05</t>
        </is>
      </c>
      <c r="C45" s="30" t="inlineStr">
        <is>
          <t>Cài đặt</t>
        </is>
      </c>
      <c r="D45" s="30" t="inlineStr">
        <is>
          <t>Mở rộng quản lý marketplace concert: loại sự kiện, danh mục và đăng nhập Google cho khán giả.</t>
        </is>
      </c>
      <c r="E45" s="30" t="inlineStr">
        <is>
          <t>openspec expand-concert-marketplace-management và add-google-sign-in-for-audience.</t>
        </is>
      </c>
      <c r="F45" s="30" t="inlineStr">
        <is>
          <t>Phạm Quang Vinh</t>
        </is>
      </c>
      <c r="G45" s="30" t="inlineStr">
        <is>
          <t>Nguyễn Bảo An</t>
        </is>
      </c>
      <c r="H45" s="30" t="n">
        <v>4</v>
      </c>
      <c r="I45" s="30" t="inlineStr">
        <is>
          <t>Chính</t>
        </is>
      </c>
      <c r="J45" s="41" t="n">
        <v>100</v>
      </c>
      <c r="K45" s="30" t="n">
        <v>4</v>
      </c>
      <c r="L45" s="30" t="inlineStr">
        <is>
          <t>openspec/changes/archive/2026-07-05-expand-concert-marketplace-management/; openspec/changes/archive/2026-07-05-add-google-sign-in-for-audience/</t>
        </is>
      </c>
      <c r="M45" s="31" t="inlineStr">
        <is>
          <t>Mở rộng phân loại sự kiện và bổ sung đăng nhập bằng Google cho khán giả.</t>
        </is>
      </c>
      <c r="N45" s="44">
        <f>IF(F45="","",H45*(J45/100)*(K45/5)*IF(I45="Chính",1.2,IF(I45="Phối hợp",1,0.7)))</f>
        <v/>
      </c>
      <c r="O45" s="84" t="n"/>
      <c r="P45" s="84" t="n"/>
      <c r="Q45" s="84" t="n"/>
    </row>
    <row r="46" ht="13.9" customHeight="1">
      <c r="A46" s="29" t="inlineStr">
        <is>
          <t>T41</t>
        </is>
      </c>
      <c r="B46" s="30" t="inlineStr">
        <is>
          <t>IM01</t>
        </is>
      </c>
      <c r="C46" s="30" t="inlineStr">
        <is>
          <t>Cài đặt</t>
        </is>
      </c>
      <c r="D46" s="30" t="inlineStr">
        <is>
          <t>Tinh chỉnh mô hình dữ liệu concert và gộp availability cùng assets vào một response công khai.</t>
        </is>
      </c>
      <c r="E46" s="30" t="inlineStr">
        <is>
          <t>openspec refine-concert-data-model và compose-public-concert-availability-and-assets.</t>
        </is>
      </c>
      <c r="F46" s="30" t="inlineStr">
        <is>
          <t>Phạm Quang Vinh</t>
        </is>
      </c>
      <c r="G46" s="30" t="inlineStr">
        <is>
          <t>Nguyễn Bảo An</t>
        </is>
      </c>
      <c r="H46" s="30" t="n">
        <v>4</v>
      </c>
      <c r="I46" s="30" t="inlineStr">
        <is>
          <t>Chính</t>
        </is>
      </c>
      <c r="J46" s="41" t="n">
        <v>100</v>
      </c>
      <c r="K46" s="30" t="n">
        <v>4</v>
      </c>
      <c r="L46" s="30" t="inlineStr">
        <is>
          <t>openspec/changes/archive/2026-06-15-refine-concert-data-model/; openspec/changes/archive/2026-06-23-compose-public-concert-availability-and-assets/</t>
        </is>
      </c>
      <c r="M46" s="31" t="inlineStr">
        <is>
          <t>Chuẩn hóa schema concert và gộp availability/asset để giảm số lần gọi API.</t>
        </is>
      </c>
      <c r="N46" s="44">
        <f>IF(F46="","",H46*(J46/100)*(K46/5)*IF(I46="Chính",1.2,IF(I46="Phối hợp",1,0.7)))</f>
        <v/>
      </c>
      <c r="O46" s="84" t="n"/>
      <c r="P46" s="84" t="n"/>
      <c r="Q46" s="84" t="n"/>
    </row>
    <row r="47" ht="13.9" customHeight="1">
      <c r="A47" s="29" t="inlineStr">
        <is>
          <t>T42</t>
        </is>
      </c>
      <c r="B47" s="30" t="inlineStr">
        <is>
          <t>Mở rộng</t>
        </is>
      </c>
      <c r="C47" s="30" t="inlineStr">
        <is>
          <t>Cài đặt</t>
        </is>
      </c>
      <c r="D47" s="30" t="inlineStr">
        <is>
          <t>Ngoài yêu cầu: giao diện quản lý Virtual Waiting Room cho ban tổ chức.</t>
        </is>
      </c>
      <c r="E47" s="30" t="inlineStr">
        <is>
          <t>openspec add-waiting-room-management-ui; apps/web.</t>
        </is>
      </c>
      <c r="F47" s="30" t="inlineStr">
        <is>
          <t>Phạm Quang Vinh</t>
        </is>
      </c>
      <c r="G47" s="30" t="inlineStr">
        <is>
          <t>Nguyễn Lê Thế Vinh</t>
        </is>
      </c>
      <c r="H47" s="30" t="n">
        <v>3</v>
      </c>
      <c r="I47" s="30" t="inlineStr">
        <is>
          <t>Chính</t>
        </is>
      </c>
      <c r="J47" s="41" t="n">
        <v>100</v>
      </c>
      <c r="K47" s="30" t="n">
        <v>4</v>
      </c>
      <c r="L47" s="30" t="inlineStr">
        <is>
          <t>openspec/changes/archive/2026-07-14-add-waiting-room-management-ui/</t>
        </is>
      </c>
      <c r="M47" s="31" t="inlineStr">
        <is>
          <t>Làm giao diện để ban tổ chức bật/tắt và theo dõi phòng chờ ảo.</t>
        </is>
      </c>
      <c r="N47" s="44">
        <f>IF(F47="","",H47*(J47/100)*(K47/5)*IF(I47="Chính",1.2,IF(I47="Phối hợp",1,0.7)))</f>
        <v/>
      </c>
      <c r="O47" s="84" t="n"/>
      <c r="P47" s="84" t="n"/>
      <c r="Q47" s="84" t="n"/>
    </row>
    <row r="48" ht="13.9" customHeight="1">
      <c r="A48" s="29" t="inlineStr">
        <is>
          <t>T43</t>
        </is>
      </c>
      <c r="B48" s="30" t="inlineStr">
        <is>
          <t>BP10</t>
        </is>
      </c>
      <c r="C48" s="30" t="inlineStr">
        <is>
          <t>Blueprint</t>
        </is>
      </c>
      <c r="D48" s="30" t="inlineStr">
        <is>
          <t>Thiết kế chống tải đột biến cho 80.000 người trong 5 phút (70% ở phút đầu): token bucket, key theo user/IP, hành vi khi vượt ngưỡng.</t>
        </is>
      </c>
      <c r="E48" s="30" t="inlineStr">
        <is>
          <t>blueprint/design.md — Decision 7; nêu rõ thuật toán, ngưỡng và response 429.</t>
        </is>
      </c>
      <c r="F48" s="30" t="inlineStr">
        <is>
          <t>Trương Nhật Đạt</t>
        </is>
      </c>
      <c r="G48" s="30" t="n"/>
      <c r="H48" s="30" t="n">
        <v>5</v>
      </c>
      <c r="I48" s="30" t="inlineStr">
        <is>
          <t>Chính</t>
        </is>
      </c>
      <c r="J48" s="41" t="n">
        <v>100</v>
      </c>
      <c r="K48" s="30" t="n">
        <v>5</v>
      </c>
      <c r="L48" s="30" t="inlineStr">
        <is>
          <t>blueprint/design.md — Decision 7: token bucket rate limiting</t>
        </is>
      </c>
      <c r="M48" s="31" t="inlineStr">
        <is>
          <t>Chọn token bucket trên Redis và định nghĩa key cùng ngưỡng cho từng nhóm endpoint.</t>
        </is>
      </c>
      <c r="N48" s="44">
        <f>IF(F48="","",H48*(J48/100)*(K48/5)*IF(I48="Chính",1.2,IF(I48="Phối hợp",1,0.7)))</f>
        <v/>
      </c>
      <c r="O48" s="84" t="n"/>
      <c r="P48" s="84" t="n"/>
      <c r="Q48" s="84" t="n"/>
    </row>
    <row r="49" ht="13.9" customHeight="1">
      <c r="A49" s="29" t="inlineStr">
        <is>
          <t>T44</t>
        </is>
      </c>
      <c r="B49" s="30" t="inlineStr">
        <is>
          <t>BP11</t>
        </is>
      </c>
      <c r="C49" s="30" t="inlineStr">
        <is>
          <t>Blueprint</t>
        </is>
      </c>
      <c r="D49" s="30" t="inlineStr">
        <is>
          <t>Thiết kế Circuit Breaker và Graceful Degradation khi VNPAY/MoMo lỗi: Closed, Open, Half-Open, threshold và fallback.</t>
        </is>
      </c>
      <c r="E49" s="30" t="inlineStr">
        <is>
          <t>blueprint/design.md — Decision 5; trang concert vẫn xem được khi payment chết.</t>
        </is>
      </c>
      <c r="F49" s="30" t="inlineStr">
        <is>
          <t>Trương Nhật Đạt</t>
        </is>
      </c>
      <c r="G49" s="30" t="n"/>
      <c r="H49" s="30" t="n">
        <v>5</v>
      </c>
      <c r="I49" s="30" t="inlineStr">
        <is>
          <t>Chính</t>
        </is>
      </c>
      <c r="J49" s="41" t="n">
        <v>100</v>
      </c>
      <c r="K49" s="30" t="n">
        <v>5</v>
      </c>
      <c r="L49" s="30" t="inlineStr">
        <is>
          <t>blueprint/design.md — Decision 5: circuit breaker and graceful degradation</t>
        </is>
      </c>
      <c r="M49" s="31" t="inlineStr">
        <is>
          <t>Thiết kế trạng thái breaker và fallback để lỗi payment không lan ra toàn hệ thống.</t>
        </is>
      </c>
      <c r="N49" s="44">
        <f>IF(F49="","",H49*(J49/100)*(K49/5)*IF(I49="Chính",1.2,IF(I49="Phối hợp",1,0.7)))</f>
        <v/>
      </c>
      <c r="O49" s="84" t="n"/>
      <c r="P49" s="84" t="n"/>
      <c r="Q49" s="84" t="n"/>
    </row>
    <row r="50" ht="13.9" customHeight="1">
      <c r="A50" s="29" t="inlineStr">
        <is>
          <t>T45</t>
        </is>
      </c>
      <c r="B50" s="30" t="inlineStr">
        <is>
          <t>BP12</t>
        </is>
      </c>
      <c r="C50" s="30" t="inlineStr">
        <is>
          <t>Blueprint</t>
        </is>
      </c>
      <c r="D50" s="30" t="inlineStr">
        <is>
          <t>Thiết kế Idempotency Key chống trừ tiền hai lần: cách sinh, lưu, kiểm tra key, TTL và response khi request lặp.</t>
        </is>
      </c>
      <c r="E50" s="30" t="inlineStr">
        <is>
          <t>blueprint/design.md — Decision 4; retry 5 lần cùng key chỉ tạo một giao dịch.</t>
        </is>
      </c>
      <c r="F50" s="30" t="inlineStr">
        <is>
          <t>Trương Nhật Đạt</t>
        </is>
      </c>
      <c r="G50" s="30" t="n"/>
      <c r="H50" s="30" t="n">
        <v>5</v>
      </c>
      <c r="I50" s="30" t="inlineStr">
        <is>
          <t>Chính</t>
        </is>
      </c>
      <c r="J50" s="41" t="n">
        <v>100</v>
      </c>
      <c r="K50" s="30" t="n">
        <v>5</v>
      </c>
      <c r="L50" s="30" t="inlineStr">
        <is>
          <t>blueprint/design.md — Decision 4: idempotent payment lifecycle</t>
        </is>
      </c>
      <c r="M50" s="31" t="inlineStr">
        <is>
          <t>Thiết kế khóa idempotency trên Redis và quy tắc trả lại kết quả cũ khi trùng key.</t>
        </is>
      </c>
      <c r="N50" s="44">
        <f>IF(F50="","",H50*(J50/100)*(K50/5)*IF(I50="Chính",1.2,IF(I50="Phối hợp",1,0.7)))</f>
        <v/>
      </c>
      <c r="O50" s="84" t="n"/>
      <c r="P50" s="84" t="n"/>
      <c r="Q50" s="84" t="n"/>
    </row>
    <row r="51" ht="13.9" customHeight="1">
      <c r="A51" s="29" t="inlineStr">
        <is>
          <t>T46</t>
        </is>
      </c>
      <c r="B51" s="30" t="inlineStr">
        <is>
          <t>IM11</t>
        </is>
      </c>
      <c r="C51" s="30" t="inlineStr">
        <is>
          <t>Cài đặt</t>
        </is>
      </c>
      <c r="D51" s="30" t="inlineStr">
        <is>
          <t>Cài chống oversell: giữ chỗ vé trong transaction có SELECT ... FOR UPDATE, không bao giờ bán quá số vé.</t>
        </is>
      </c>
      <c r="E51" s="30" t="inlineStr">
        <is>
          <t>prisma-inventory-reservation.repository.ts + test "prevents oversell when concurrent reservations serialize through the ticket type lock" pass.</t>
        </is>
      </c>
      <c r="F51" s="30" t="inlineStr">
        <is>
          <t>Trương Nhật Đạt</t>
        </is>
      </c>
      <c r="G51" s="30" t="inlineStr">
        <is>
          <t>Nguyễn Bảo An</t>
        </is>
      </c>
      <c r="H51" s="30" t="n">
        <v>5</v>
      </c>
      <c r="I51" s="30" t="inlineStr">
        <is>
          <t>Chính</t>
        </is>
      </c>
      <c r="J51" s="41" t="n">
        <v>100</v>
      </c>
      <c r="K51" s="30" t="n">
        <v>5</v>
      </c>
      <c r="L51" s="30" t="inlineStr">
        <is>
          <t>openspec/changes/archive/2026-06-18-implement-inventory-reservation/; packages/backend/src/ordering/infrastructure/database/prisma-inventory-reservation.repository.ts</t>
        </is>
      </c>
      <c r="M51" s="31" t="inlineStr">
        <is>
          <t>Cài row-lock để hai người mua vé cuối cùng cùng lúc chỉ một người thắng, có test chứng minh.</t>
        </is>
      </c>
      <c r="N51" s="44">
        <f>IF(F51="","",H51*(J51/100)*(K51/5)*IF(I51="Chính",1.2,IF(I51="Phối hợp",1,0.7)))</f>
        <v/>
      </c>
      <c r="O51" s="84" t="n"/>
      <c r="P51" s="84" t="n"/>
      <c r="Q51" s="84" t="n"/>
    </row>
    <row r="52" ht="13.9" customHeight="1">
      <c r="A52" s="29" t="inlineStr">
        <is>
          <t>T47</t>
        </is>
      </c>
      <c r="B52" s="30" t="inlineStr">
        <is>
          <t>IM03</t>
        </is>
      </c>
      <c r="C52" s="30" t="inlineStr">
        <is>
          <t>Cài đặt</t>
        </is>
      </c>
      <c r="D52" s="30" t="inlineStr">
        <is>
          <t>Cài giới hạn vé mỗi tài khoản, đúng cả khi request đồng thời, đếm cả đơn pending chưa thanh toán.</t>
        </is>
      </c>
      <c r="E52" s="30" t="inlineStr">
        <is>
          <t>test "prevents concurrent same-user reservations from bypassing max per user after the row lock" pass; 29/29 test.</t>
        </is>
      </c>
      <c r="F52" s="30" t="inlineStr">
        <is>
          <t>Trương Nhật Đạt</t>
        </is>
      </c>
      <c r="G52" s="30" t="n"/>
      <c r="H52" s="30" t="n">
        <v>5</v>
      </c>
      <c r="I52" s="30" t="inlineStr">
        <is>
          <t>Chính</t>
        </is>
      </c>
      <c r="J52" s="41" t="n">
        <v>100</v>
      </c>
      <c r="K52" s="30" t="n">
        <v>5</v>
      </c>
      <c r="L52" s="30" t="inlineStr">
        <is>
          <t>openspec/changes/archive/2026-06-19-implement-per-user-ticket-limit/; openspec/changes/archive/2026-06-23-harden-concurrency-tests/</t>
        </is>
      </c>
      <c r="M52" s="31" t="inlineStr">
        <is>
          <t>Chặn lách giới hạn bằng cách đếm trong cùng transaction sau khi đã khóa dòng ticket type.</t>
        </is>
      </c>
      <c r="N52" s="44">
        <f>IF(F52="","",H52*(J52/100)*(K52/5)*IF(I52="Chính",1.2,IF(I52="Phối hợp",1,0.7)))</f>
        <v/>
      </c>
      <c r="O52" s="84" t="n"/>
      <c r="P52" s="84" t="n"/>
      <c r="Q52" s="84" t="n"/>
    </row>
    <row r="53" ht="13.9" customHeight="1">
      <c r="A53" s="29" t="inlineStr">
        <is>
          <t>T48</t>
        </is>
      </c>
      <c r="B53" s="30" t="inlineStr">
        <is>
          <t>IM14</t>
        </is>
      </c>
      <c r="C53" s="30" t="inlineStr">
        <is>
          <t>Cài đặt</t>
        </is>
      </c>
      <c r="D53" s="30" t="inlineStr">
        <is>
          <t>Cài Idempotency thật cho payment: lưu key trong Redis kèm TTL, cùng key trả lại kết quả cũ, không trừ tiền hai lần.</t>
        </is>
      </c>
      <c r="E53" s="30" t="inlineStr">
        <is>
          <t>redis-payment-idempotency.store.ts + .spec.ts pass; có test retry, same key và concurrent retry.</t>
        </is>
      </c>
      <c r="F53" s="30" t="inlineStr">
        <is>
          <t>Trương Nhật Đạt</t>
        </is>
      </c>
      <c r="G53" s="30" t="n"/>
      <c r="H53" s="30" t="n">
        <v>5</v>
      </c>
      <c r="I53" s="30" t="inlineStr">
        <is>
          <t>Chính</t>
        </is>
      </c>
      <c r="J53" s="41" t="n">
        <v>100</v>
      </c>
      <c r="K53" s="30" t="n">
        <v>5</v>
      </c>
      <c r="L53" s="30" t="inlineStr">
        <is>
          <t>openspec/changes/archive/2026-06-20-implement-payment-idempotency/; packages/backend/src/payment/infrastructure/redis/redis-payment-idempotency.store.ts</t>
        </is>
      </c>
      <c r="M53" s="31" t="inlineStr">
        <is>
          <t>Cài store idempotency trên Redis, xử lý được cả trường hợp hai retry chạy song song.</t>
        </is>
      </c>
      <c r="N53" s="44">
        <f>IF(F53="","",H53*(J53/100)*(K53/5)*IF(I53="Chính",1.2,IF(I53="Phối hợp",1,0.7)))</f>
        <v/>
      </c>
      <c r="O53" s="84" t="n"/>
      <c r="P53" s="84" t="n"/>
      <c r="Q53" s="84" t="n"/>
    </row>
    <row r="54" ht="13.9" customHeight="1">
      <c r="A54" s="29" t="inlineStr">
        <is>
          <t>T49</t>
        </is>
      </c>
      <c r="B54" s="30" t="inlineStr">
        <is>
          <t>IM13</t>
        </is>
      </c>
      <c r="C54" s="30" t="inlineStr">
        <is>
          <t>Cài đặt</t>
        </is>
      </c>
      <c r="D54" s="30" t="inlineStr">
        <is>
          <t>Cài Circuit Breaker thật cho payment provider: Closed, Open, Half-Open trên Redis và fallback khi mạch mở.</t>
        </is>
      </c>
      <c r="E54" s="30" t="inlineStr">
        <is>
          <t>redis-payment-circuit-breaker.ts + .spec.ts pass; payment lỗi liên tiếp thì mở mạch, catalog vẫn chạy.</t>
        </is>
      </c>
      <c r="F54" s="30" t="inlineStr">
        <is>
          <t>Trương Nhật Đạt</t>
        </is>
      </c>
      <c r="G54" s="30" t="n"/>
      <c r="H54" s="30" t="n">
        <v>5</v>
      </c>
      <c r="I54" s="30" t="inlineStr">
        <is>
          <t>Chính</t>
        </is>
      </c>
      <c r="J54" s="41" t="n">
        <v>100</v>
      </c>
      <c r="K54" s="30" t="n">
        <v>5</v>
      </c>
      <c r="L54" s="30" t="inlineStr">
        <is>
          <t>openspec/changes/archive/2026-06-20-implement-payment-circuit-breaker/; packages/backend/src/payment/infrastructure/redis/redis-payment-circuit-breaker.ts</t>
        </is>
      </c>
      <c r="M54" s="31" t="inlineStr">
        <is>
          <t>Cài breaker chia sẻ state qua Redis để nhiều instance API cùng thấy mạch đang mở.</t>
        </is>
      </c>
      <c r="N54" s="44">
        <f>IF(F54="","",H54*(J54/100)*(K54/5)*IF(I54="Chính",1.2,IF(I54="Phối hợp",1,0.7)))</f>
        <v/>
      </c>
      <c r="O54" s="84" t="n"/>
      <c r="P54" s="84" t="n"/>
      <c r="Q54" s="84" t="n"/>
    </row>
    <row r="55" ht="13.9" customHeight="1">
      <c r="A55" s="29" t="inlineStr">
        <is>
          <t>T50</t>
        </is>
      </c>
      <c r="B55" s="30" t="inlineStr">
        <is>
          <t>IM12</t>
        </is>
      </c>
      <c r="C55" s="30" t="inlineStr">
        <is>
          <t>Cài đặt</t>
        </is>
      </c>
      <c r="D55" s="30" t="inlineStr">
        <is>
          <t>Cài rate limiting thật: interceptor token bucket, policy theo nhóm endpoint, key theo actor là user hoặc IP.</t>
        </is>
      </c>
      <c r="E55" s="30" t="inlineStr">
        <is>
          <t>packages/backend/src/platform/rate-limiting/ — 11/11 test pass; vượt ngưỡng trả về 429.</t>
        </is>
      </c>
      <c r="F55" s="30" t="inlineStr">
        <is>
          <t>Trương Nhật Đạt</t>
        </is>
      </c>
      <c r="G55" s="30" t="n"/>
      <c r="H55" s="30" t="n">
        <v>5</v>
      </c>
      <c r="I55" s="30" t="inlineStr">
        <is>
          <t>Chính</t>
        </is>
      </c>
      <c r="J55" s="41" t="n">
        <v>100</v>
      </c>
      <c r="K55" s="30" t="n">
        <v>5</v>
      </c>
      <c r="L55" s="30" t="inlineStr">
        <is>
          <t>openspec/changes/archive/2026-06-20-implement-rate-limiting/; openspec/changes/archive/2026-06-27-harden-rate-limit-cache-coverage/</t>
        </is>
      </c>
      <c r="M55" s="31" t="inlineStr">
        <is>
          <t>Cài middleware giới hạn tần suất và mở rộng độ phủ test cho cả cache và rate limit.</t>
        </is>
      </c>
      <c r="N55" s="44">
        <f>IF(F55="","",H55*(J55/100)*(K55/5)*IF(I55="Chính",1.2,IF(I55="Phối hợp",1,0.7)))</f>
        <v/>
      </c>
      <c r="O55" s="84" t="n"/>
      <c r="P55" s="84" t="n"/>
      <c r="Q55" s="84" t="n"/>
    </row>
    <row r="56" ht="13.9" customHeight="1">
      <c r="A56" s="29" t="inlineStr">
        <is>
          <t>T51</t>
        </is>
      </c>
      <c r="B56" s="30" t="inlineStr">
        <is>
          <t>IM02</t>
        </is>
      </c>
      <c r="C56" s="30" t="inlineStr">
        <is>
          <t>Cài đặt</t>
        </is>
      </c>
      <c r="D56" s="30" t="inlineStr">
        <is>
          <t>Cài vòng đời đơn hàng: tạo đơn PENDING, giữ chỗ có thời hạn, hết hạn tự nhả vé, hủy đơn.</t>
        </is>
      </c>
      <c r="E56" s="30" t="inlineStr">
        <is>
          <t>packages/backend/src/ordering/ + expire-reservations.use-case; worker nhả vé đúng hạn.</t>
        </is>
      </c>
      <c r="F56" s="30" t="inlineStr">
        <is>
          <t>Trương Nhật Đạt</t>
        </is>
      </c>
      <c r="G56" s="30" t="inlineStr">
        <is>
          <t>Nguyễn Bảo An</t>
        </is>
      </c>
      <c r="H56" s="30" t="n">
        <v>5</v>
      </c>
      <c r="I56" s="30" t="inlineStr">
        <is>
          <t>Chính</t>
        </is>
      </c>
      <c r="J56" s="41" t="n">
        <v>100</v>
      </c>
      <c r="K56" s="30" t="n">
        <v>5</v>
      </c>
      <c r="L56" s="30" t="inlineStr">
        <is>
          <t>openspec/changes/archive/2026-06-16-implement-order-lifecycle/; packages/backend/src/ordering/</t>
        </is>
      </c>
      <c r="M56" s="31" t="inlineStr">
        <is>
          <t>Xây state machine đơn hàng và worker nhả vé để không giữ chỗ vĩnh viễn.</t>
        </is>
      </c>
      <c r="N56" s="44">
        <f>IF(F56="","",H56*(J56/100)*(K56/5)*IF(I56="Chính",1.2,IF(I56="Phối hợp",1,0.7)))</f>
        <v/>
      </c>
      <c r="O56" s="84" t="n"/>
      <c r="P56" s="84" t="n"/>
      <c r="Q56" s="84" t="n"/>
    </row>
    <row r="57" ht="13.9" customHeight="1">
      <c r="A57" s="29" t="inlineStr">
        <is>
          <t>T52</t>
        </is>
      </c>
      <c r="B57" s="30" t="inlineStr">
        <is>
          <t>IM02</t>
        </is>
      </c>
      <c r="C57" s="30" t="inlineStr">
        <is>
          <t>Cài đặt</t>
        </is>
      </c>
      <c r="D57" s="30" t="inlineStr">
        <is>
          <t>Tích hợp thanh toán VNPay và MoMo sandbox cùng payment simulator, xử lý callback/IPN an toàn.</t>
        </is>
      </c>
      <c r="E57" s="30" t="inlineStr">
        <is>
          <t>packages/backend/src/payment/; test callback pass; docs/paid-order-recovery.md.</t>
        </is>
      </c>
      <c r="F57" s="30" t="inlineStr">
        <is>
          <t>Trương Nhật Đạt</t>
        </is>
      </c>
      <c r="G57" s="30" t="n"/>
      <c r="H57" s="30" t="n">
        <v>5</v>
      </c>
      <c r="I57" s="30" t="inlineStr">
        <is>
          <t>Chính</t>
        </is>
      </c>
      <c r="J57" s="41" t="n">
        <v>100</v>
      </c>
      <c r="K57" s="30" t="n">
        <v>5</v>
      </c>
      <c r="L57" s="30" t="inlineStr">
        <is>
          <t>openspec/changes/archive/2026-06-24-implement-vnpay-integration/; openspec/changes/archive/2026-06-20-implement-momo-sandbox-integration/; openspec/changes/archive/2026-06-20-implement-payment-simulator/</t>
        </is>
      </c>
      <c r="M57" s="31" t="inlineStr">
        <is>
          <t>Tích hợp hai cổng thanh toán thật và simulator để demo, xử lý callback idempotent.</t>
        </is>
      </c>
      <c r="N57" s="44">
        <f>IF(F57="","",H57*(J57/100)*(K57/5)*IF(I57="Chính",1.2,IF(I57="Phối hợp",1,0.7)))</f>
        <v/>
      </c>
      <c r="O57" s="84" t="n"/>
      <c r="P57" s="84" t="n"/>
      <c r="Q57" s="84" t="n"/>
    </row>
    <row r="58" ht="13.9" customHeight="1">
      <c r="A58" s="29" t="inlineStr">
        <is>
          <t>T53</t>
        </is>
      </c>
      <c r="B58" s="30" t="inlineStr">
        <is>
          <t>IM02</t>
        </is>
      </c>
      <c r="C58" s="30" t="inlineStr">
        <is>
          <t>Cài đặt</t>
        </is>
      </c>
      <c r="D58" s="30" t="inlineStr">
        <is>
          <t>Cài phát hành e-ticket QR sau khi thanh toán thành công và gửi mã QR qua email cho khán giả.</t>
        </is>
      </c>
      <c r="E58" s="30" t="inlineStr">
        <is>
          <t>issue-tickets-for-paid-order.use-case + QR email delivery; test pass.</t>
        </is>
      </c>
      <c r="F58" s="30" t="inlineStr">
        <is>
          <t>Trương Nhật Đạt</t>
        </is>
      </c>
      <c r="G58" s="30" t="inlineStr">
        <is>
          <t>Nguyễn Lê Thế Vinh</t>
        </is>
      </c>
      <c r="H58" s="30" t="n">
        <v>4</v>
      </c>
      <c r="I58" s="30" t="inlineStr">
        <is>
          <t>Chính</t>
        </is>
      </c>
      <c r="J58" s="41" t="n">
        <v>100</v>
      </c>
      <c r="K58" s="30" t="n">
        <v>5</v>
      </c>
      <c r="L58" s="30" t="inlineStr">
        <is>
          <t>openspec/changes/archive/2026-06-19-implement-qr-ticket-issuance/; openspec/changes/archive/2026-06-24-implement-ticket-qr-email-delivery/</t>
        </is>
      </c>
      <c r="M58" s="31" t="inlineStr">
        <is>
          <t>Sinh vé QR có hash chống giả mạo và gửi tới khán giả qua email.</t>
        </is>
      </c>
      <c r="N58" s="44">
        <f>IF(F58="","",H58*(J58/100)*(K58/5)*IF(I58="Chính",1.2,IF(I58="Phối hợp",1,0.7)))</f>
        <v/>
      </c>
      <c r="O58" s="84" t="n"/>
      <c r="P58" s="84" t="n"/>
      <c r="Q58" s="84" t="n"/>
    </row>
    <row r="59" ht="13.9" customHeight="1">
      <c r="A59" s="29" t="inlineStr">
        <is>
          <t>T54</t>
        </is>
      </c>
      <c r="B59" s="30" t="inlineStr">
        <is>
          <t>IM02</t>
        </is>
      </c>
      <c r="C59" s="30" t="inlineStr">
        <is>
          <t>Cài đặt</t>
        </is>
      </c>
      <c r="D59" s="30" t="inlineStr">
        <is>
          <t>Xây trang checkout khán giả: chọn vé, đếm ngược giữ chỗ, thanh toán và khôi phục đơn đã trả tiền khi lỗi.</t>
        </is>
      </c>
      <c r="E59" s="30" t="inlineStr">
        <is>
          <t>apps/audience-web/src/features/checkout/; openspec harden-paid-order-recovery.</t>
        </is>
      </c>
      <c r="F59" s="30" t="inlineStr">
        <is>
          <t>Trương Nhật Đạt</t>
        </is>
      </c>
      <c r="G59" s="30" t="inlineStr">
        <is>
          <t>Nguyễn Bảo An</t>
        </is>
      </c>
      <c r="H59" s="30" t="n">
        <v>5</v>
      </c>
      <c r="I59" s="30" t="inlineStr">
        <is>
          <t>Chính</t>
        </is>
      </c>
      <c r="J59" s="41" t="n">
        <v>100</v>
      </c>
      <c r="K59" s="30" t="n">
        <v>5</v>
      </c>
      <c r="L59" s="30" t="inlineStr">
        <is>
          <t>openspec/changes/archive/2026-06-25-implement-audience-checkout-and-payment/; openspec/changes/archive/2026-06-25-harden-paid-order-recovery/</t>
        </is>
      </c>
      <c r="M59" s="31" t="inlineStr">
        <is>
          <t>Xây luồng checkout end-to-end và cơ chế cứu đơn đã trả tiền nhưng lỗi giữa chừng.</t>
        </is>
      </c>
      <c r="N59" s="44">
        <f>IF(F59="","",H59*(J59/100)*(K59/5)*IF(I59="Chính",1.2,IF(I59="Phối hợp",1,0.7)))</f>
        <v/>
      </c>
      <c r="O59" s="84" t="n"/>
      <c r="P59" s="84" t="n"/>
      <c r="Q59" s="84" t="n"/>
    </row>
    <row r="60" ht="13.9" customHeight="1">
      <c r="A60" s="29" t="inlineStr">
        <is>
          <t>T55</t>
        </is>
      </c>
      <c r="B60" s="30" t="inlineStr">
        <is>
          <t>IM10</t>
        </is>
      </c>
      <c r="C60" s="30" t="inlineStr">
        <is>
          <t>Cài đặt</t>
        </is>
      </c>
      <c r="D60" s="30" t="inlineStr">
        <is>
          <t>Làm giao diện quản trị Guest List (hỗ trợ phần UI): upload CSV, xem báo cáo import, dòng lỗi và dòng trùng.</t>
        </is>
      </c>
      <c r="E60" s="30" t="inlineStr">
        <is>
          <t>apps/web/src/features/admin/guest-list/ (AdminGuestListPage, GuestListReportPanel); test UI pass.</t>
        </is>
      </c>
      <c r="F60" s="30" t="inlineStr">
        <is>
          <t>Trương Nhật Đạt</t>
        </is>
      </c>
      <c r="G60" s="30" t="inlineStr">
        <is>
          <t>Nguyễn Lê Thế Vinh</t>
        </is>
      </c>
      <c r="H60" s="30" t="n">
        <v>3</v>
      </c>
      <c r="I60" s="30" t="inlineStr">
        <is>
          <t>Phối hợp</t>
        </is>
      </c>
      <c r="J60" s="41" t="n">
        <v>100</v>
      </c>
      <c r="K60" s="30" t="n">
        <v>5</v>
      </c>
      <c r="L60" s="30" t="inlineStr">
        <is>
          <t>openspec/changes/archive/2026-07-14-integrate-guest-list-ui/; apps/web/src/features/admin/guest-list/</t>
        </is>
      </c>
      <c r="M60" s="31" t="inlineStr">
        <is>
          <t>Hỗ trợ Thế Vinh hoàn thiện giao diện admin cho backend import CSV đã có.</t>
        </is>
      </c>
      <c r="N60" s="44">
        <f>IF(F60="","",H60*(J60/100)*(K60/5)*IF(I60="Chính",1.2,IF(I60="Phối hợp",1,0.7)))</f>
        <v/>
      </c>
      <c r="O60" s="84" t="n"/>
      <c r="P60" s="84" t="n"/>
      <c r="Q60" s="84" t="n"/>
    </row>
    <row r="61" ht="13.9" customHeight="1">
      <c r="A61" s="29" t="inlineStr">
        <is>
          <t>T56</t>
        </is>
      </c>
      <c r="B61" s="30" t="inlineStr">
        <is>
          <t>Mở rộng</t>
        </is>
      </c>
      <c r="C61" s="30" t="inlineStr">
        <is>
          <t>Cài đặt</t>
        </is>
      </c>
      <c r="D61" s="30" t="inlineStr">
        <is>
          <t>Ngoài yêu cầu: hệ thống đánh giá/review concert và tính năng yêu thích concert cho khán giả.</t>
        </is>
      </c>
      <c r="E61" s="30" t="inlineStr">
        <is>
          <t>openspec implement-concert-reviews và audience-concert-favorites.</t>
        </is>
      </c>
      <c r="F61" s="30" t="inlineStr">
        <is>
          <t>Trương Nhật Đạt</t>
        </is>
      </c>
      <c r="G61" s="30" t="inlineStr">
        <is>
          <t>Nguyễn Bảo An</t>
        </is>
      </c>
      <c r="H61" s="30" t="n">
        <v>3</v>
      </c>
      <c r="I61" s="30" t="inlineStr">
        <is>
          <t>Chính</t>
        </is>
      </c>
      <c r="J61" s="41" t="n">
        <v>100</v>
      </c>
      <c r="K61" s="30" t="n">
        <v>4</v>
      </c>
      <c r="L61" s="30" t="inlineStr">
        <is>
          <t>openspec/changes/archive/2026-07-12-implement-concert-reviews/; openspec/changes/archive/2026-06-26-audience-concert-favorites/</t>
        </is>
      </c>
      <c r="M61" s="31" t="inlineStr">
        <is>
          <t>Mở rộng vượt yêu cầu: hệ thống review có bình luận và danh sách concert yêu thích.</t>
        </is>
      </c>
      <c r="N61" s="44">
        <f>IF(F61="","",H61*(J61/100)*(K61/5)*IF(I61="Chính",1.2,IF(I61="Phối hợp",1,0.7)))</f>
        <v/>
      </c>
      <c r="O61" s="84" t="n"/>
      <c r="P61" s="84" t="n"/>
      <c r="Q61" s="84" t="n"/>
    </row>
    <row r="62" ht="13.9" customHeight="1">
      <c r="A62" s="29" t="n"/>
      <c r="B62" s="30" t="n"/>
      <c r="C62" s="30" t="n"/>
      <c r="D62" s="30" t="n"/>
      <c r="E62" s="30" t="n"/>
      <c r="F62" s="30" t="n"/>
      <c r="G62" s="30" t="n"/>
      <c r="H62" s="30" t="n"/>
      <c r="I62" s="30" t="n"/>
      <c r="J62" s="41" t="n"/>
      <c r="K62" s="30" t="n"/>
      <c r="L62" s="30" t="n"/>
      <c r="M62" s="31" t="n"/>
      <c r="N62" s="44">
        <f>IF(F62="","",H62*(J62/100)*(K62/5)*IF(I62="Chính",1.2,IF(I62="Phối hợp",1,0.7)))</f>
        <v/>
      </c>
      <c r="O62" s="84" t="n"/>
      <c r="P62" s="84" t="n"/>
      <c r="Q62" s="84" t="n"/>
    </row>
    <row r="63" ht="13.9" customHeight="1">
      <c r="A63" s="29" t="n"/>
      <c r="B63" s="30" t="n"/>
      <c r="C63" s="30" t="n"/>
      <c r="D63" s="30" t="n"/>
      <c r="E63" s="30" t="n"/>
      <c r="F63" s="30" t="n"/>
      <c r="G63" s="30" t="n"/>
      <c r="H63" s="30" t="n"/>
      <c r="I63" s="30" t="n"/>
      <c r="J63" s="41" t="n"/>
      <c r="K63" s="30" t="n"/>
      <c r="L63" s="30" t="n"/>
      <c r="M63" s="31" t="n"/>
      <c r="N63" s="44">
        <f>IF(F63="","",H63*(J63/100)*(K63/5)*IF(I63="Chính",1.2,IF(I63="Phối hợp",1,0.7)))</f>
        <v/>
      </c>
      <c r="O63" s="84" t="n"/>
      <c r="P63" s="84" t="n"/>
      <c r="Q63" s="84" t="n"/>
    </row>
    <row r="64" ht="13.9" customHeight="1">
      <c r="A64" s="29" t="n"/>
      <c r="B64" s="30" t="n"/>
      <c r="C64" s="30" t="n"/>
      <c r="D64" s="30" t="n"/>
      <c r="E64" s="30" t="n"/>
      <c r="F64" s="30" t="n"/>
      <c r="G64" s="30" t="n"/>
      <c r="H64" s="30" t="n"/>
      <c r="I64" s="30" t="n"/>
      <c r="J64" s="41" t="n"/>
      <c r="K64" s="30" t="n"/>
      <c r="L64" s="30" t="n"/>
      <c r="M64" s="31" t="n"/>
      <c r="N64" s="44">
        <f>IF(F64="","",H64*(J64/100)*(K64/5)*IF(I64="Chính",1.2,IF(I64="Phối hợp",1,0.7)))</f>
        <v/>
      </c>
      <c r="O64" s="84" t="n"/>
      <c r="P64" s="84" t="n"/>
      <c r="Q64" s="84" t="n"/>
    </row>
    <row r="65" ht="13.9" customHeight="1">
      <c r="A65" s="33" t="n"/>
      <c r="B65" s="34" t="n"/>
      <c r="C65" s="34" t="n"/>
      <c r="D65" s="34" t="n"/>
      <c r="E65" s="34" t="n"/>
      <c r="F65" s="34" t="n"/>
      <c r="G65" s="34" t="n"/>
      <c r="H65" s="34" t="n"/>
      <c r="I65" s="34" t="n"/>
      <c r="J65" s="42" t="n"/>
      <c r="K65" s="34" t="n"/>
      <c r="L65" s="34" t="n"/>
      <c r="M65" s="35" t="n"/>
      <c r="N65" s="45">
        <f>IF(F65="","",H65*(J65/100)*(K65/5)*IF(I65="Chính",1.2,IF(I65="Phối hợp",1,0.7)))</f>
        <v/>
      </c>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2">
    <mergeCell ref="A3:N3"/>
    <mergeCell ref="A1:N1"/>
  </mergeCells>
  <dataValidations count="1">
    <dataValidation sqref="J6:J65" showDropDown="0" showInputMessage="0" showErrorMessage="0" allowBlank="0" type="decimal">
      <formula1>0</formula1>
      <formula2>100</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7" customWidth="1" min="1" max="1"/>
    <col width="25" customWidth="1" min="2" max="2"/>
    <col width="13" customWidth="1" min="3" max="3"/>
    <col width="17" customWidth="1" min="4" max="4"/>
    <col width="16" customWidth="1" min="5" max="8"/>
    <col width="14" customWidth="1" min="9" max="10"/>
    <col width="16" customWidth="1" min="11" max="11"/>
    <col width="11" customWidth="1" min="12" max="12"/>
    <col width="55" customWidth="1" min="13" max="13"/>
    <col width="45" customWidth="1" min="14" max="14"/>
    <col width="40" customWidth="1" min="15" max="15"/>
    <col width="18" customWidth="1" min="16" max="17"/>
  </cols>
  <sheetData>
    <row r="1" ht="15" customHeight="1">
      <c r="A1" s="127" t="inlineStr">
        <is>
          <t>TỰ ĐÁNH GIÁ CÁ NHÂN — MỖI THÀNH VIÊN MỘT DÒNG</t>
        </is>
      </c>
    </row>
    <row r="2" ht="13.9" customHeight="1">
      <c r="A2" s="84" t="n"/>
      <c r="B2" s="84" t="n"/>
      <c r="C2" s="84" t="n"/>
      <c r="D2" s="84" t="n"/>
      <c r="E2" s="84" t="n"/>
      <c r="F2" s="84" t="n"/>
      <c r="G2" s="84" t="n"/>
      <c r="H2" s="84" t="n"/>
      <c r="I2" s="84" t="n"/>
      <c r="J2" s="84" t="n"/>
      <c r="K2" s="84" t="n"/>
      <c r="L2" s="84" t="n"/>
      <c r="M2" s="84" t="n"/>
      <c r="N2" s="84" t="n"/>
      <c r="O2" s="84" t="n"/>
      <c r="P2" s="84" t="n"/>
      <c r="Q2" s="84" t="n"/>
    </row>
    <row r="3" ht="18" customHeight="1">
      <c r="A3" s="128" t="inlineStr">
        <is>
          <t>Thang 1–5: 1 = gần như chưa tham gia/không giải thích được; 3 = hoàn thành phần được giao; 5 = chủ động, có minh chứng rõ và giải thích được quyết định kỹ thuật khi vấn đáp.</t>
        </is>
      </c>
    </row>
    <row r="4" ht="13.9" customHeight="1">
      <c r="A4" s="84" t="n"/>
      <c r="B4" s="84" t="n"/>
      <c r="C4" s="84" t="n"/>
      <c r="D4" s="84" t="n"/>
      <c r="E4" s="84" t="n"/>
      <c r="F4" s="84" t="n"/>
      <c r="G4" s="84" t="n"/>
      <c r="H4" s="84" t="n"/>
      <c r="I4" s="84" t="n"/>
      <c r="J4" s="84" t="n"/>
      <c r="K4" s="84" t="n"/>
      <c r="L4" s="84" t="n"/>
      <c r="M4" s="84" t="n"/>
      <c r="N4" s="84" t="n"/>
      <c r="O4" s="84" t="n"/>
      <c r="P4" s="84" t="n"/>
      <c r="Q4" s="84" t="n"/>
    </row>
    <row r="5" ht="26.25" customHeight="1">
      <c r="A5" s="2" t="inlineStr">
        <is>
          <t>STT</t>
        </is>
      </c>
      <c r="B5" s="3" t="inlineStr">
        <is>
          <t>Thành viên</t>
        </is>
      </c>
      <c r="C5" s="3" t="inlineStr">
        <is>
          <t>Hiểu bài toán</t>
        </is>
      </c>
      <c r="D5" s="3" t="inlineStr">
        <is>
          <t>Blueprint/kiến trúc</t>
        </is>
      </c>
      <c r="E5" s="3" t="inlineStr">
        <is>
          <t>Cài đặt nghiệp vụ</t>
        </is>
      </c>
      <c r="F5" s="3" t="inlineStr">
        <is>
          <t>Cơ chế kỹ thuật</t>
        </is>
      </c>
      <c r="G5" s="3" t="inlineStr">
        <is>
          <t>Kiểm thử/chất lượng</t>
        </is>
      </c>
      <c r="H5" s="3" t="inlineStr">
        <is>
          <t>Tài liệu/README</t>
        </is>
      </c>
      <c r="I5" s="3" t="inlineStr">
        <is>
          <t>Demo/video</t>
        </is>
      </c>
      <c r="J5" s="3" t="inlineStr">
        <is>
          <t>Hợp tác nhóm</t>
        </is>
      </c>
      <c r="K5" s="3" t="inlineStr">
        <is>
          <t>Khả năng vấn đáp</t>
        </is>
      </c>
      <c r="L5" s="3" t="inlineStr">
        <is>
          <t>Điểm TB</t>
        </is>
      </c>
      <c r="M5" s="3" t="inlineStr">
        <is>
          <t>3 đóng góp quan trọng nhất</t>
        </is>
      </c>
      <c r="N5" s="3" t="inlineStr">
        <is>
          <t>Phần chưa hoàn thành/hạn chế</t>
        </is>
      </c>
      <c r="O5" s="3" t="inlineStr">
        <is>
          <t>Minh chứng tiêu biểu</t>
        </is>
      </c>
      <c r="P5" s="3" t="inlineStr">
        <is>
          <t>Tỷ lệ đóng góp tự khai (%)</t>
        </is>
      </c>
      <c r="Q5" s="4" t="inlineStr">
        <is>
          <t>Cam kết trung thực</t>
        </is>
      </c>
    </row>
    <row r="6">
      <c r="A6" s="24" t="n">
        <v>1</v>
      </c>
      <c r="B6" s="46">
        <f>IF('01_ThongTinNhom'!B16="","",'01_ThongTinNhom'!B16)</f>
        <v/>
      </c>
      <c r="C6" s="25" t="n">
        <v>5</v>
      </c>
      <c r="D6" s="26" t="n">
        <v>5</v>
      </c>
      <c r="E6" s="26" t="n">
        <v>5</v>
      </c>
      <c r="F6" s="26" t="n">
        <v>5</v>
      </c>
      <c r="G6" s="26" t="n">
        <v>5</v>
      </c>
      <c r="H6" s="26" t="n">
        <v>5</v>
      </c>
      <c r="I6" s="26" t="n">
        <v>4</v>
      </c>
      <c r="J6" s="26" t="n">
        <v>5</v>
      </c>
      <c r="K6" s="27" t="n">
        <v>5</v>
      </c>
      <c r="L6" s="43">
        <f>IF(B6="","",AVERAGE(C6:K6))</f>
        <v/>
      </c>
      <c r="M6" s="25" t="inlineStr">
        <is>
          <t>(1) Viết toàn bộ Blueprint: kiến trúc modular monolith + clean/hexagonal, C4 L1/L2, ERD, 12 ADR. (2) Cài xác thực JWT và RBAC guard 3 lớp (RolesGuard + re-check ownership trong use-case). (3) Dựng platform foundation (docker-compose, config, health) + migration/seed và app khán giả audience-web.</t>
        </is>
      </c>
      <c r="N6" s="26" t="inlineStr">
        <is>
          <t>Chưa trực tiếp cài các cơ chế payment (circuit breaker, idempotency, rate limiting) — phần này do Nhật Đạt làm, tôi chỉ review thiết kế. Chưa quay video demo.</t>
        </is>
      </c>
      <c r="O6" s="26" t="inlineStr">
        <is>
          <t>MC01 (blueprint/design.md), MC16 (PR #3 RBAC), MC19 (PR #1 platform foundation), MC24 (README.md)</t>
        </is>
      </c>
      <c r="P6" s="39" t="n">
        <v>27</v>
      </c>
      <c r="Q6" s="27" t="inlineStr">
        <is>
          <t>Có</t>
        </is>
      </c>
    </row>
    <row r="7">
      <c r="A7" s="28" t="n">
        <v>2</v>
      </c>
      <c r="B7" s="47">
        <f>IF('01_ThongTinNhom'!B17="","",'01_ThongTinNhom'!B17)</f>
        <v/>
      </c>
      <c r="C7" s="29" t="n">
        <v>5</v>
      </c>
      <c r="D7" s="30" t="n">
        <v>4</v>
      </c>
      <c r="E7" s="30" t="n">
        <v>5</v>
      </c>
      <c r="F7" s="30" t="n">
        <v>5</v>
      </c>
      <c r="G7" s="30" t="n">
        <v>5</v>
      </c>
      <c r="H7" s="30" t="n">
        <v>5</v>
      </c>
      <c r="I7" s="30" t="n">
        <v>5</v>
      </c>
      <c r="J7" s="30" t="n">
        <v>5</v>
      </c>
      <c r="K7" s="31" t="n">
        <v>5</v>
      </c>
      <c r="L7" s="44">
        <f>IF(B7="","",AVERAGE(C7:K7))</f>
        <v/>
      </c>
      <c r="M7" s="29" t="inlineStr">
        <is>
          <t>(1) Xây concert catalog backend và toàn bộ trang quản trị cho ban tổ chức (CRUD concert, loại vé, dashboard doanh thu). (2) Cài caching Redis cache-aside: availability TTL 5s, detail TTL 300s, invalidate theo prefix khi ghi. (3) Cài sơ đồ chỗ ngồi SVG theo khu, object storage, upload poster và trình sửa venue map.</t>
        </is>
      </c>
      <c r="N7" s="30" t="inlineStr">
        <is>
          <t>Mảng cơ chế nền (oversell, payment) không phải phần tôi làm nên chỉ nắm ở mức thiết kế. Blueprint tôi chỉ đóng góp Decision 6 (caching).</t>
        </is>
      </c>
      <c r="O7" s="30" t="inlineStr">
        <is>
          <t>MC58 (PR #5 catalog), MC61 (commit 4160a4c caching), MC59 (PR #6 quản trị concert), MC65 (test UI 39/39 pass)</t>
        </is>
      </c>
      <c r="P7" s="41" t="n">
        <v>21</v>
      </c>
      <c r="Q7" s="31" t="inlineStr">
        <is>
          <t>Có</t>
        </is>
      </c>
    </row>
    <row r="8">
      <c r="A8" s="28" t="n">
        <v>3</v>
      </c>
      <c r="B8" s="47">
        <f>IF('01_ThongTinNhom'!B18="","",'01_ThongTinNhom'!B18)</f>
        <v/>
      </c>
      <c r="C8" s="29" t="n">
        <v>5</v>
      </c>
      <c r="D8" s="30" t="n">
        <v>5</v>
      </c>
      <c r="E8" s="30" t="n">
        <v>5</v>
      </c>
      <c r="F8" s="30" t="n">
        <v>5</v>
      </c>
      <c r="G8" s="30" t="n">
        <v>5</v>
      </c>
      <c r="H8" s="30" t="n">
        <v>5</v>
      </c>
      <c r="I8" s="30" t="n">
        <v>4</v>
      </c>
      <c r="J8" s="30" t="n">
        <v>5</v>
      </c>
      <c r="K8" s="31" t="n">
        <v>5</v>
      </c>
      <c r="L8" s="44">
        <f>IF(B8="","",AVERAGE(C8:K8))</f>
        <v/>
      </c>
      <c r="M8" s="29" t="inlineStr">
        <is>
          <t>(1) Xây app soát vé React Native và toàn bộ luồng offline: hàng đợi cục bộ, ticket cache, batch-sync có xử lý xung đột (cùng máy = DUPLICATE, máy khác = CONFLICT). (2) Xây pipeline AI Artist Bio (validate chữ ký %PDF-, trích text, gọi Gemini, fallback cục bộ, retry backoff) và import Guest List CSV idempotent (checksum sha256 + chuẩn hóa email). (3) Xây module notification đa kênh qua NotificationChannelPort + nhắc lịch trước 24 giờ.</t>
        </is>
      </c>
      <c r="N8" s="30" t="inlineStr">
        <is>
          <t>Không tham gia sâu mảng payment và chống oversell. Blueprint tôi chỉ viết 2 luồng nghiệp vụ (BP07 offline check-in, BP08 CSV).</t>
        </is>
      </c>
      <c r="O8" s="30" t="inlineStr">
        <is>
          <t>MC41 (PR #10 mobile), MC44 (PR #25 offline sync), MC49 (PR #13 AI bio), MC51 (PR #20 CSV import)</t>
        </is>
      </c>
      <c r="P8" s="41" t="n">
        <v>24</v>
      </c>
      <c r="Q8" s="31" t="inlineStr">
        <is>
          <t>Có</t>
        </is>
      </c>
    </row>
    <row r="9">
      <c r="A9" s="32" t="n">
        <v>4</v>
      </c>
      <c r="B9" s="48">
        <f>IF('01_ThongTinNhom'!B19="","",'01_ThongTinNhom'!B19)</f>
        <v/>
      </c>
      <c r="C9" s="33" t="n">
        <v>5</v>
      </c>
      <c r="D9" s="34" t="n">
        <v>5</v>
      </c>
      <c r="E9" s="34" t="n">
        <v>5</v>
      </c>
      <c r="F9" s="34" t="n">
        <v>5</v>
      </c>
      <c r="G9" s="34" t="n">
        <v>5</v>
      </c>
      <c r="H9" s="34" t="n">
        <v>4</v>
      </c>
      <c r="I9" s="34" t="n">
        <v>5</v>
      </c>
      <c r="J9" s="34" t="n">
        <v>5</v>
      </c>
      <c r="K9" s="35" t="n">
        <v>5</v>
      </c>
      <c r="L9" s="45">
        <f>IF(B9="","",AVERAGE(C9:K9))</f>
        <v/>
      </c>
      <c r="M9" s="33" t="inlineStr">
        <is>
          <t>(1) Cài cơ chế chống oversell: SELECT ... FOR UPDATE khóa dòng ticket_type trong transaction đặt chỗ, có test chứng minh 2 người mua vé cuối cùng chỉ 1 người thắng. (2) Cài giới hạn vé/tài khoản chống lách khi request đồng thời (đếm cả đơn PENDING sau row lock) — 29/29 test pass. (3) Cài payment resilience: idempotency (Redis SET NX, phát hiện MISMATCH), circuit breaker (3 lỗi → OPEN, cooldown 30s) và rate limiting token bucket 7 policy.</t>
        </is>
      </c>
      <c r="N9" s="34" t="inlineStr">
        <is>
          <t>Phần frontend admin và blueprint tổng thể không phải mảng của tôi. Tài liệu tôi viết chủ yếu là Decision 4/5/7 và docs kỹ thuật.</t>
        </is>
      </c>
      <c r="O9" s="34" t="inlineStr">
        <is>
          <t>MC27 (commit 512d263 oversell), MC29 (test 29/29 giới hạn vé), MC31 (commit 69b610c circuit breaker), MC32 (commit 19ead99 rate limit)</t>
        </is>
      </c>
      <c r="P9" s="42" t="n">
        <v>28</v>
      </c>
      <c r="Q9" s="35" t="inlineStr">
        <is>
          <t>Có</t>
        </is>
      </c>
    </row>
    <row r="10" ht="13.9" customHeight="1">
      <c r="A10" s="84" t="n"/>
      <c r="B10" s="84" t="n"/>
      <c r="C10" s="84" t="n"/>
      <c r="D10" s="84" t="n"/>
      <c r="E10" s="84" t="n"/>
      <c r="F10" s="84" t="n"/>
      <c r="G10" s="84" t="n"/>
      <c r="H10" s="84" t="n"/>
      <c r="I10" s="84" t="n"/>
      <c r="J10" s="84" t="n"/>
      <c r="K10" s="84" t="n"/>
      <c r="L10" s="84" t="n"/>
      <c r="M10" s="84" t="n"/>
      <c r="N10" s="84" t="n"/>
      <c r="O10" s="84" t="n"/>
      <c r="P10" s="84" t="n"/>
      <c r="Q10" s="84" t="n"/>
    </row>
    <row r="11" ht="13.9" customHeight="1">
      <c r="A11" s="84" t="n"/>
      <c r="B11" s="84" t="n"/>
      <c r="C11" s="84" t="n"/>
      <c r="D11" s="84" t="n"/>
      <c r="E11" s="84" t="n"/>
      <c r="F11" s="84" t="n"/>
      <c r="G11" s="84" t="n"/>
      <c r="H11" s="84" t="n"/>
      <c r="I11" s="84" t="n"/>
      <c r="J11" s="84" t="n"/>
      <c r="K11" s="84" t="n"/>
      <c r="L11" s="84" t="n"/>
      <c r="M11" s="84" t="n"/>
      <c r="N11" s="84" t="n"/>
      <c r="O11" s="84" t="n"/>
      <c r="P11" s="84" t="n"/>
      <c r="Q11" s="84" t="n"/>
    </row>
    <row r="12" ht="13.9" customHeight="1">
      <c r="A12" s="84" t="n"/>
      <c r="B12" s="84" t="n"/>
      <c r="C12" s="84" t="n"/>
      <c r="D12" s="84" t="n"/>
      <c r="E12" s="84" t="n"/>
      <c r="F12" s="84" t="n"/>
      <c r="G12" s="84" t="n"/>
      <c r="H12" s="84" t="n"/>
      <c r="I12" s="84" t="n"/>
      <c r="J12" s="84" t="n"/>
      <c r="K12" s="84" t="n"/>
      <c r="L12" s="84" t="n"/>
      <c r="M12" s="84" t="n"/>
      <c r="N12" s="84" t="n"/>
      <c r="O12" s="84" t="n"/>
      <c r="P12" s="84" t="n"/>
      <c r="Q12" s="84" t="n"/>
    </row>
    <row r="13" ht="13.9" customHeight="1">
      <c r="A13" s="84" t="n"/>
      <c r="B13" s="84" t="n"/>
      <c r="C13" s="84" t="n"/>
      <c r="D13" s="84" t="n"/>
      <c r="E13" s="84" t="n"/>
      <c r="F13" s="84" t="n"/>
      <c r="G13" s="84" t="n"/>
      <c r="H13" s="84" t="n"/>
      <c r="I13" s="84" t="n"/>
      <c r="J13" s="84" t="n"/>
      <c r="K13" s="84" t="n"/>
      <c r="L13" s="84" t="n"/>
      <c r="M13" s="84" t="n"/>
      <c r="N13" s="84" t="n"/>
      <c r="O13" s="84" t="n"/>
      <c r="P13" s="84" t="n"/>
      <c r="Q13" s="84" t="n"/>
    </row>
    <row r="14" ht="13.9" customHeight="1">
      <c r="A14" s="84" t="n"/>
      <c r="B14" s="84" t="n"/>
      <c r="C14" s="84" t="n"/>
      <c r="D14" s="84" t="n"/>
      <c r="E14" s="84" t="n"/>
      <c r="F14" s="84" t="n"/>
      <c r="G14" s="84" t="n"/>
      <c r="H14" s="84" t="n"/>
      <c r="I14" s="84" t="n"/>
      <c r="J14" s="84" t="n"/>
      <c r="K14" s="84" t="n"/>
      <c r="L14" s="84" t="n"/>
      <c r="M14" s="84" t="n"/>
      <c r="N14" s="84" t="n"/>
      <c r="O14" s="84" t="n"/>
      <c r="P14" s="84" t="n"/>
      <c r="Q14" s="84" t="n"/>
    </row>
    <row r="15" ht="13.9" customHeight="1">
      <c r="A15" s="84" t="n"/>
      <c r="B15" s="84" t="n"/>
      <c r="C15" s="84" t="n"/>
      <c r="D15" s="84" t="n"/>
      <c r="E15" s="84" t="n"/>
      <c r="F15" s="84" t="n"/>
      <c r="G15" s="84" t="n"/>
      <c r="H15" s="84" t="n"/>
      <c r="I15" s="84" t="n"/>
      <c r="J15" s="84" t="n"/>
      <c r="K15" s="84" t="n"/>
      <c r="L15" s="84" t="n"/>
      <c r="M15" s="84" t="n"/>
      <c r="N15" s="84" t="n"/>
      <c r="O15" s="84" t="n"/>
      <c r="P15" s="84" t="n"/>
      <c r="Q15" s="84" t="n"/>
    </row>
    <row r="16" ht="13.9" customHeight="1">
      <c r="A16" s="84" t="n"/>
      <c r="B16" s="84" t="n"/>
      <c r="C16" s="84" t="n"/>
      <c r="D16" s="84" t="n"/>
      <c r="E16" s="84" t="n"/>
      <c r="F16" s="84" t="n"/>
      <c r="G16" s="84" t="n"/>
      <c r="H16" s="84" t="n"/>
      <c r="I16" s="84" t="n"/>
      <c r="J16" s="84" t="n"/>
      <c r="K16" s="84" t="n"/>
      <c r="L16" s="84" t="n"/>
      <c r="M16" s="84" t="n"/>
      <c r="N16" s="84" t="n"/>
      <c r="O16" s="84" t="n"/>
      <c r="P16" s="84" t="n"/>
      <c r="Q16" s="84" t="n"/>
    </row>
    <row r="17" ht="13.9" customHeight="1">
      <c r="A17" s="84" t="n"/>
      <c r="B17" s="84" t="n"/>
      <c r="C17" s="84" t="n"/>
      <c r="D17" s="84" t="n"/>
      <c r="E17" s="84" t="n"/>
      <c r="F17" s="84" t="n"/>
      <c r="G17" s="84" t="n"/>
      <c r="H17" s="84" t="n"/>
      <c r="I17" s="84" t="n"/>
      <c r="J17" s="84" t="n"/>
      <c r="K17" s="84" t="n"/>
      <c r="L17" s="84" t="n"/>
      <c r="M17" s="84" t="n"/>
      <c r="N17" s="84" t="n"/>
      <c r="O17" s="84" t="n"/>
      <c r="P17" s="84" t="n"/>
      <c r="Q17" s="84" t="n"/>
    </row>
    <row r="18" ht="13.9" customHeight="1">
      <c r="A18" s="84" t="n"/>
      <c r="B18" s="84" t="n"/>
      <c r="C18" s="84" t="n"/>
      <c r="D18" s="84" t="n"/>
      <c r="E18" s="84" t="n"/>
      <c r="F18" s="84" t="n"/>
      <c r="G18" s="84" t="n"/>
      <c r="H18" s="84" t="n"/>
      <c r="I18" s="84" t="n"/>
      <c r="J18" s="84" t="n"/>
      <c r="K18" s="84" t="n"/>
      <c r="L18" s="84" t="n"/>
      <c r="M18" s="84" t="n"/>
      <c r="N18" s="84" t="n"/>
      <c r="O18" s="84" t="n"/>
      <c r="P18" s="84" t="n"/>
      <c r="Q18" s="84" t="n"/>
    </row>
    <row r="19" ht="13.9" customHeight="1">
      <c r="A19" s="84" t="n"/>
      <c r="B19" s="84" t="n"/>
      <c r="C19" s="84" t="n"/>
      <c r="D19" s="84" t="n"/>
      <c r="E19" s="84" t="n"/>
      <c r="F19" s="84" t="n"/>
      <c r="G19" s="84" t="n"/>
      <c r="H19" s="84" t="n"/>
      <c r="I19" s="84" t="n"/>
      <c r="J19" s="84" t="n"/>
      <c r="K19" s="84" t="n"/>
      <c r="L19" s="84" t="n"/>
      <c r="M19" s="84" t="n"/>
      <c r="N19" s="84" t="n"/>
      <c r="O19" s="84" t="n"/>
      <c r="P19" s="84" t="n"/>
      <c r="Q19" s="84" t="n"/>
    </row>
    <row r="20" ht="13.9" customHeight="1">
      <c r="A20" s="84" t="n"/>
      <c r="B20" s="84" t="n"/>
      <c r="C20" s="84" t="n"/>
      <c r="D20" s="84" t="n"/>
      <c r="E20" s="84" t="n"/>
      <c r="F20" s="84" t="n"/>
      <c r="G20" s="84" t="n"/>
      <c r="H20" s="84" t="n"/>
      <c r="I20" s="84" t="n"/>
      <c r="J20" s="84" t="n"/>
      <c r="K20" s="84" t="n"/>
      <c r="L20" s="84" t="n"/>
      <c r="M20" s="84" t="n"/>
      <c r="N20" s="84" t="n"/>
      <c r="O20" s="84" t="n"/>
      <c r="P20" s="84" t="n"/>
      <c r="Q20" s="84" t="n"/>
    </row>
    <row r="21" ht="13.9" customHeight="1">
      <c r="A21" s="84" t="n"/>
      <c r="B21" s="84" t="n"/>
      <c r="C21" s="84" t="n"/>
      <c r="D21" s="84" t="n"/>
      <c r="E21" s="84" t="n"/>
      <c r="F21" s="84" t="n"/>
      <c r="G21" s="84" t="n"/>
      <c r="H21" s="84" t="n"/>
      <c r="I21" s="84" t="n"/>
      <c r="J21" s="84" t="n"/>
      <c r="K21" s="84" t="n"/>
      <c r="L21" s="84" t="n"/>
      <c r="M21" s="84" t="n"/>
      <c r="N21" s="84" t="n"/>
      <c r="O21" s="84" t="n"/>
      <c r="P21" s="84" t="n"/>
      <c r="Q21" s="84" t="n"/>
    </row>
    <row r="22" ht="13.9" customHeight="1">
      <c r="A22" s="84" t="n"/>
      <c r="B22" s="84" t="n"/>
      <c r="C22" s="84" t="n"/>
      <c r="D22" s="84" t="n"/>
      <c r="E22" s="84" t="n"/>
      <c r="F22" s="84" t="n"/>
      <c r="G22" s="84" t="n"/>
      <c r="H22" s="84" t="n"/>
      <c r="I22" s="84" t="n"/>
      <c r="J22" s="84" t="n"/>
      <c r="K22" s="84" t="n"/>
      <c r="L22" s="84" t="n"/>
      <c r="M22" s="84" t="n"/>
      <c r="N22" s="84" t="n"/>
      <c r="O22" s="84" t="n"/>
      <c r="P22" s="84" t="n"/>
      <c r="Q22" s="84" t="n"/>
    </row>
    <row r="23" ht="13.9" customHeight="1">
      <c r="A23" s="84" t="n"/>
      <c r="B23" s="84" t="n"/>
      <c r="C23" s="84" t="n"/>
      <c r="D23" s="84" t="n"/>
      <c r="E23" s="84" t="n"/>
      <c r="F23" s="84" t="n"/>
      <c r="G23" s="84" t="n"/>
      <c r="H23" s="84" t="n"/>
      <c r="I23" s="84" t="n"/>
      <c r="J23" s="84" t="n"/>
      <c r="K23" s="84" t="n"/>
      <c r="L23" s="84" t="n"/>
      <c r="M23" s="84" t="n"/>
      <c r="N23" s="84" t="n"/>
      <c r="O23" s="84" t="n"/>
      <c r="P23" s="84" t="n"/>
      <c r="Q23" s="84" t="n"/>
    </row>
    <row r="24" ht="13.9" customHeight="1">
      <c r="A24" s="84" t="n"/>
      <c r="B24" s="84" t="n"/>
      <c r="C24" s="84" t="n"/>
      <c r="D24" s="84" t="n"/>
      <c r="E24" s="84" t="n"/>
      <c r="F24" s="84" t="n"/>
      <c r="G24" s="84" t="n"/>
      <c r="H24" s="84" t="n"/>
      <c r="I24" s="84" t="n"/>
      <c r="J24" s="84" t="n"/>
      <c r="K24" s="84" t="n"/>
      <c r="L24" s="84" t="n"/>
      <c r="M24" s="84" t="n"/>
      <c r="N24" s="84" t="n"/>
      <c r="O24" s="84" t="n"/>
      <c r="P24" s="84" t="n"/>
      <c r="Q24" s="84" t="n"/>
    </row>
    <row r="25" ht="13.9" customHeight="1">
      <c r="A25" s="84" t="n"/>
      <c r="B25" s="84" t="n"/>
      <c r="C25" s="84" t="n"/>
      <c r="D25" s="84" t="n"/>
      <c r="E25" s="84" t="n"/>
      <c r="F25" s="84" t="n"/>
      <c r="G25" s="84" t="n"/>
      <c r="H25" s="84" t="n"/>
      <c r="I25" s="84" t="n"/>
      <c r="J25" s="84" t="n"/>
      <c r="K25" s="84" t="n"/>
      <c r="L25" s="84" t="n"/>
      <c r="M25" s="84" t="n"/>
      <c r="N25" s="84" t="n"/>
      <c r="O25" s="84" t="n"/>
      <c r="P25" s="84" t="n"/>
      <c r="Q25" s="84" t="n"/>
    </row>
    <row r="26" ht="13.9" customHeight="1">
      <c r="A26" s="84" t="n"/>
      <c r="B26" s="84" t="n"/>
      <c r="C26" s="84" t="n"/>
      <c r="D26" s="84" t="n"/>
      <c r="E26" s="84" t="n"/>
      <c r="F26" s="84" t="n"/>
      <c r="G26" s="84" t="n"/>
      <c r="H26" s="84" t="n"/>
      <c r="I26" s="84" t="n"/>
      <c r="J26" s="84" t="n"/>
      <c r="K26" s="84" t="n"/>
      <c r="L26" s="84" t="n"/>
      <c r="M26" s="84" t="n"/>
      <c r="N26" s="84" t="n"/>
      <c r="O26" s="84" t="n"/>
      <c r="P26" s="84" t="n"/>
      <c r="Q26" s="84" t="n"/>
    </row>
    <row r="27" ht="13.9" customHeight="1">
      <c r="A27" s="84" t="n"/>
      <c r="B27" s="84" t="n"/>
      <c r="C27" s="84" t="n"/>
      <c r="D27" s="84" t="n"/>
      <c r="E27" s="84" t="n"/>
      <c r="F27" s="84" t="n"/>
      <c r="G27" s="84" t="n"/>
      <c r="H27" s="84" t="n"/>
      <c r="I27" s="84" t="n"/>
      <c r="J27" s="84" t="n"/>
      <c r="K27" s="84" t="n"/>
      <c r="L27" s="84" t="n"/>
      <c r="M27" s="84" t="n"/>
      <c r="N27" s="84" t="n"/>
      <c r="O27" s="84" t="n"/>
      <c r="P27" s="84" t="n"/>
      <c r="Q27" s="84" t="n"/>
    </row>
    <row r="28" ht="13.9" customHeight="1">
      <c r="A28" s="84" t="n"/>
      <c r="B28" s="84" t="n"/>
      <c r="C28" s="84" t="n"/>
      <c r="D28" s="84" t="n"/>
      <c r="E28" s="84" t="n"/>
      <c r="F28" s="84" t="n"/>
      <c r="G28" s="84" t="n"/>
      <c r="H28" s="84" t="n"/>
      <c r="I28" s="84" t="n"/>
      <c r="J28" s="84" t="n"/>
      <c r="K28" s="84" t="n"/>
      <c r="L28" s="84" t="n"/>
      <c r="M28" s="84" t="n"/>
      <c r="N28" s="84" t="n"/>
      <c r="O28" s="84" t="n"/>
      <c r="P28" s="84" t="n"/>
      <c r="Q28" s="84" t="n"/>
    </row>
    <row r="29" ht="13.9" customHeight="1">
      <c r="A29" s="84" t="n"/>
      <c r="B29" s="84" t="n"/>
      <c r="C29" s="84" t="n"/>
      <c r="D29" s="84" t="n"/>
      <c r="E29" s="84" t="n"/>
      <c r="F29" s="84" t="n"/>
      <c r="G29" s="84" t="n"/>
      <c r="H29" s="84" t="n"/>
      <c r="I29" s="84" t="n"/>
      <c r="J29" s="84" t="n"/>
      <c r="K29" s="84" t="n"/>
      <c r="L29" s="84" t="n"/>
      <c r="M29" s="84" t="n"/>
      <c r="N29" s="84" t="n"/>
      <c r="O29" s="84" t="n"/>
      <c r="P29" s="84" t="n"/>
      <c r="Q29" s="84" t="n"/>
    </row>
    <row r="30" ht="13.9" customHeight="1">
      <c r="A30" s="84" t="n"/>
      <c r="B30" s="84" t="n"/>
      <c r="C30" s="84" t="n"/>
      <c r="D30" s="84" t="n"/>
      <c r="E30" s="84" t="n"/>
      <c r="F30" s="84" t="n"/>
      <c r="G30" s="84" t="n"/>
      <c r="H30" s="84" t="n"/>
      <c r="I30" s="84" t="n"/>
      <c r="J30" s="84" t="n"/>
      <c r="K30" s="84" t="n"/>
      <c r="L30" s="84" t="n"/>
      <c r="M30" s="84" t="n"/>
      <c r="N30" s="84" t="n"/>
      <c r="O30" s="84" t="n"/>
      <c r="P30" s="84" t="n"/>
      <c r="Q30" s="84" t="n"/>
    </row>
    <row r="31" ht="13.9" customHeight="1">
      <c r="A31" s="84" t="n"/>
      <c r="B31" s="84" t="n"/>
      <c r="C31" s="84" t="n"/>
      <c r="D31" s="84" t="n"/>
      <c r="E31" s="84" t="n"/>
      <c r="F31" s="84" t="n"/>
      <c r="G31" s="84" t="n"/>
      <c r="H31" s="84" t="n"/>
      <c r="I31" s="84" t="n"/>
      <c r="J31" s="84" t="n"/>
      <c r="K31" s="84" t="n"/>
      <c r="L31" s="84" t="n"/>
      <c r="M31" s="84" t="n"/>
      <c r="N31" s="84" t="n"/>
      <c r="O31" s="84" t="n"/>
      <c r="P31" s="84" t="n"/>
      <c r="Q31" s="84" t="n"/>
    </row>
    <row r="32" ht="13.9" customHeight="1">
      <c r="A32" s="84" t="n"/>
      <c r="B32" s="84" t="n"/>
      <c r="C32" s="84" t="n"/>
      <c r="D32" s="84" t="n"/>
      <c r="E32" s="84" t="n"/>
      <c r="F32" s="84" t="n"/>
      <c r="G32" s="84" t="n"/>
      <c r="H32" s="84" t="n"/>
      <c r="I32" s="84" t="n"/>
      <c r="J32" s="84" t="n"/>
      <c r="K32" s="84" t="n"/>
      <c r="L32" s="84" t="n"/>
      <c r="M32" s="84" t="n"/>
      <c r="N32" s="84" t="n"/>
      <c r="O32" s="84" t="n"/>
      <c r="P32" s="84" t="n"/>
      <c r="Q32" s="84" t="n"/>
    </row>
    <row r="33" ht="13.9" customHeight="1">
      <c r="A33" s="84" t="n"/>
      <c r="B33" s="84" t="n"/>
      <c r="C33" s="84" t="n"/>
      <c r="D33" s="84" t="n"/>
      <c r="E33" s="84" t="n"/>
      <c r="F33" s="84" t="n"/>
      <c r="G33" s="84" t="n"/>
      <c r="H33" s="84" t="n"/>
      <c r="I33" s="84" t="n"/>
      <c r="J33" s="84" t="n"/>
      <c r="K33" s="84" t="n"/>
      <c r="L33" s="84" t="n"/>
      <c r="M33" s="84" t="n"/>
      <c r="N33" s="84" t="n"/>
      <c r="O33" s="84" t="n"/>
      <c r="P33" s="84" t="n"/>
      <c r="Q33" s="84" t="n"/>
    </row>
    <row r="34" ht="13.9" customHeight="1">
      <c r="A34" s="84" t="n"/>
      <c r="B34" s="84" t="n"/>
      <c r="C34" s="84" t="n"/>
      <c r="D34" s="84" t="n"/>
      <c r="E34" s="84" t="n"/>
      <c r="F34" s="84" t="n"/>
      <c r="G34" s="84" t="n"/>
      <c r="H34" s="84" t="n"/>
      <c r="I34" s="84" t="n"/>
      <c r="J34" s="84" t="n"/>
      <c r="K34" s="84" t="n"/>
      <c r="L34" s="84" t="n"/>
      <c r="M34" s="84" t="n"/>
      <c r="N34" s="84" t="n"/>
      <c r="O34" s="84" t="n"/>
      <c r="P34" s="84" t="n"/>
      <c r="Q34" s="84" t="n"/>
    </row>
    <row r="35" ht="13.9" customHeight="1">
      <c r="A35" s="84" t="n"/>
      <c r="B35" s="84" t="n"/>
      <c r="C35" s="84" t="n"/>
      <c r="D35" s="84" t="n"/>
      <c r="E35" s="84" t="n"/>
      <c r="F35" s="84" t="n"/>
      <c r="G35" s="84" t="n"/>
      <c r="H35" s="84" t="n"/>
      <c r="I35" s="84" t="n"/>
      <c r="J35" s="84" t="n"/>
      <c r="K35" s="84" t="n"/>
      <c r="L35" s="84" t="n"/>
      <c r="M35" s="84" t="n"/>
      <c r="N35" s="84" t="n"/>
      <c r="O35" s="84" t="n"/>
      <c r="P35" s="84" t="n"/>
      <c r="Q35" s="84" t="n"/>
    </row>
    <row r="36" ht="13.9" customHeight="1">
      <c r="A36" s="84" t="n"/>
      <c r="B36" s="84" t="n"/>
      <c r="C36" s="84" t="n"/>
      <c r="D36" s="84" t="n"/>
      <c r="E36" s="84" t="n"/>
      <c r="F36" s="84" t="n"/>
      <c r="G36" s="84" t="n"/>
      <c r="H36" s="84" t="n"/>
      <c r="I36" s="84" t="n"/>
      <c r="J36" s="84" t="n"/>
      <c r="K36" s="84" t="n"/>
      <c r="L36" s="84" t="n"/>
      <c r="M36" s="84" t="n"/>
      <c r="N36" s="84" t="n"/>
      <c r="O36" s="84" t="n"/>
      <c r="P36" s="84" t="n"/>
      <c r="Q36" s="84" t="n"/>
    </row>
    <row r="37" ht="13.9" customHeight="1">
      <c r="A37" s="84" t="n"/>
      <c r="B37" s="84" t="n"/>
      <c r="C37" s="84" t="n"/>
      <c r="D37" s="84" t="n"/>
      <c r="E37" s="84" t="n"/>
      <c r="F37" s="84" t="n"/>
      <c r="G37" s="84" t="n"/>
      <c r="H37" s="84" t="n"/>
      <c r="I37" s="84" t="n"/>
      <c r="J37" s="84" t="n"/>
      <c r="K37" s="84" t="n"/>
      <c r="L37" s="84" t="n"/>
      <c r="M37" s="84" t="n"/>
      <c r="N37" s="84" t="n"/>
      <c r="O37" s="84" t="n"/>
      <c r="P37" s="84" t="n"/>
      <c r="Q37" s="84" t="n"/>
    </row>
    <row r="38" ht="13.9" customHeight="1">
      <c r="A38" s="84" t="n"/>
      <c r="B38" s="84" t="n"/>
      <c r="C38" s="84" t="n"/>
      <c r="D38" s="84" t="n"/>
      <c r="E38" s="84" t="n"/>
      <c r="F38" s="84" t="n"/>
      <c r="G38" s="84" t="n"/>
      <c r="H38" s="84" t="n"/>
      <c r="I38" s="84" t="n"/>
      <c r="J38" s="84" t="n"/>
      <c r="K38" s="84" t="n"/>
      <c r="L38" s="84" t="n"/>
      <c r="M38" s="84" t="n"/>
      <c r="N38" s="84" t="n"/>
      <c r="O38" s="84" t="n"/>
      <c r="P38" s="84" t="n"/>
      <c r="Q38" s="84" t="n"/>
    </row>
    <row r="39" ht="13.9" customHeight="1">
      <c r="A39" s="84" t="n"/>
      <c r="B39" s="84" t="n"/>
      <c r="C39" s="84" t="n"/>
      <c r="D39" s="84" t="n"/>
      <c r="E39" s="84" t="n"/>
      <c r="F39" s="84" t="n"/>
      <c r="G39" s="84" t="n"/>
      <c r="H39" s="84" t="n"/>
      <c r="I39" s="84" t="n"/>
      <c r="J39" s="84" t="n"/>
      <c r="K39" s="84" t="n"/>
      <c r="L39" s="84" t="n"/>
      <c r="M39" s="84" t="n"/>
      <c r="N39" s="84" t="n"/>
      <c r="O39" s="84" t="n"/>
      <c r="P39" s="84" t="n"/>
      <c r="Q39" s="84" t="n"/>
    </row>
    <row r="40" ht="13.9" customHeight="1">
      <c r="A40" s="84" t="n"/>
      <c r="B40" s="84" t="n"/>
      <c r="C40" s="84" t="n"/>
      <c r="D40" s="84" t="n"/>
      <c r="E40" s="84" t="n"/>
      <c r="F40" s="84" t="n"/>
      <c r="G40" s="84" t="n"/>
      <c r="H40" s="84" t="n"/>
      <c r="I40" s="84" t="n"/>
      <c r="J40" s="84" t="n"/>
      <c r="K40" s="84" t="n"/>
      <c r="L40" s="84" t="n"/>
      <c r="M40" s="84" t="n"/>
      <c r="N40" s="84" t="n"/>
      <c r="O40" s="84" t="n"/>
      <c r="P40" s="84" t="n"/>
      <c r="Q40" s="84" t="n"/>
    </row>
    <row r="41" ht="13.9" customHeight="1">
      <c r="A41" s="84" t="n"/>
      <c r="B41" s="84" t="n"/>
      <c r="C41" s="84" t="n"/>
      <c r="D41" s="84" t="n"/>
      <c r="E41" s="84" t="n"/>
      <c r="F41" s="84" t="n"/>
      <c r="G41" s="84" t="n"/>
      <c r="H41" s="84" t="n"/>
      <c r="I41" s="84" t="n"/>
      <c r="J41" s="84" t="n"/>
      <c r="K41" s="84" t="n"/>
      <c r="L41" s="84" t="n"/>
      <c r="M41" s="84" t="n"/>
      <c r="N41" s="84" t="n"/>
      <c r="O41" s="84" t="n"/>
      <c r="P41" s="84" t="n"/>
      <c r="Q41" s="84" t="n"/>
    </row>
    <row r="42" ht="13.9" customHeight="1">
      <c r="A42" s="84" t="n"/>
      <c r="B42" s="84" t="n"/>
      <c r="C42" s="84" t="n"/>
      <c r="D42" s="84" t="n"/>
      <c r="E42" s="84" t="n"/>
      <c r="F42" s="84" t="n"/>
      <c r="G42" s="84" t="n"/>
      <c r="H42" s="84" t="n"/>
      <c r="I42" s="84" t="n"/>
      <c r="J42" s="84" t="n"/>
      <c r="K42" s="84" t="n"/>
      <c r="L42" s="84" t="n"/>
      <c r="M42" s="84" t="n"/>
      <c r="N42" s="84" t="n"/>
      <c r="O42" s="84" t="n"/>
      <c r="P42" s="84" t="n"/>
      <c r="Q42" s="84" t="n"/>
    </row>
    <row r="43" ht="13.9" customHeight="1">
      <c r="A43" s="84" t="n"/>
      <c r="B43" s="84" t="n"/>
      <c r="C43" s="84" t="n"/>
      <c r="D43" s="84" t="n"/>
      <c r="E43" s="84" t="n"/>
      <c r="F43" s="84" t="n"/>
      <c r="G43" s="84" t="n"/>
      <c r="H43" s="84" t="n"/>
      <c r="I43" s="84" t="n"/>
      <c r="J43" s="84" t="n"/>
      <c r="K43" s="84" t="n"/>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2">
    <mergeCell ref="A3:Q3"/>
    <mergeCell ref="A1:Q1"/>
  </mergeCells>
  <dataValidations count="1">
    <dataValidation sqref="P6:P9" showDropDown="0" showInputMessage="0" showErrorMessage="0" allowBlank="0" type="decimal">
      <formula1>0</formula1>
      <formula2>100</formula2>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7" customWidth="1" min="1" max="1"/>
    <col width="25" customWidth="1" min="2" max="3"/>
    <col width="14" customWidth="1" min="4" max="4"/>
    <col width="13" customWidth="1" min="5" max="5"/>
    <col width="16" customWidth="1" min="6" max="6"/>
    <col width="19" customWidth="1" min="7" max="7"/>
    <col width="13" customWidth="1" min="8" max="8"/>
    <col width="22" customWidth="1" min="9" max="9"/>
    <col width="11" customWidth="1" min="10" max="10"/>
    <col width="55" customWidth="1" min="11" max="11"/>
    <col width="42" customWidth="1" min="12" max="12"/>
    <col width="12" customWidth="1" min="13" max="13"/>
  </cols>
  <sheetData>
    <row r="1" ht="15" customHeight="1">
      <c r="A1" s="127" t="inlineStr">
        <is>
          <t>ĐÁNH GIÁ CHÉO GIỮA CÁC THÀNH VIÊN</t>
        </is>
      </c>
      <c r="N1" s="84" t="n"/>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18" customHeight="1">
      <c r="A3" s="128" t="inlineStr">
        <is>
          <t>Mỗi thành viên đánh giá các thành viên còn lại, không tự đánh giá chính mình. Nhóm 1 thành viên để trống. Nhận xét phải có ví dụ cụ thể, tránh tất cả đều 5 điểm.</t>
        </is>
      </c>
      <c r="N3" s="84" t="n"/>
      <c r="O3" s="84" t="n"/>
      <c r="P3" s="84" t="n"/>
      <c r="Q3" s="84" t="n"/>
    </row>
    <row r="4" ht="13.9" customHeight="1">
      <c r="A4" s="84" t="n"/>
      <c r="B4" s="84" t="n"/>
      <c r="C4" s="84" t="n"/>
      <c r="D4" s="84" t="n"/>
      <c r="E4" s="84" t="n"/>
      <c r="F4" s="84" t="n"/>
      <c r="G4" s="84" t="n"/>
      <c r="H4" s="84" t="n"/>
      <c r="I4" s="84" t="n"/>
      <c r="J4" s="84" t="n"/>
      <c r="K4" s="84" t="n"/>
      <c r="L4" s="84" t="n"/>
      <c r="M4" s="84" t="n"/>
      <c r="N4" s="84" t="n"/>
      <c r="O4" s="84" t="n"/>
      <c r="P4" s="84" t="n"/>
      <c r="Q4" s="84" t="n"/>
    </row>
    <row r="5" ht="13.9" customHeight="1">
      <c r="A5" s="2" t="inlineStr">
        <is>
          <t>STT</t>
        </is>
      </c>
      <c r="B5" s="3" t="inlineStr">
        <is>
          <t>Người đánh giá</t>
        </is>
      </c>
      <c r="C5" s="3" t="inlineStr">
        <is>
          <t>Người được đánh giá</t>
        </is>
      </c>
      <c r="D5" s="3" t="inlineStr">
        <is>
          <t>Mức đóng góp</t>
        </is>
      </c>
      <c r="E5" s="3" t="inlineStr">
        <is>
          <t>Đúng tiến độ</t>
        </is>
      </c>
      <c r="F5" s="3" t="inlineStr">
        <is>
          <t>Chất lượng đầu ra</t>
        </is>
      </c>
      <c r="G5" s="3" t="inlineStr">
        <is>
          <t>Chủ động xử lý vấn đề</t>
        </is>
      </c>
      <c r="H5" s="3" t="inlineStr">
        <is>
          <t>Hỗ trợ nhóm</t>
        </is>
      </c>
      <c r="I5" s="3" t="inlineStr">
        <is>
          <t>Khả năng giải thích phần việc</t>
        </is>
      </c>
      <c r="J5" s="3" t="inlineStr">
        <is>
          <t>Điểm TB</t>
        </is>
      </c>
      <c r="K5" s="3" t="inlineStr">
        <is>
          <t>Nhận xét cụ thể</t>
        </is>
      </c>
      <c r="L5" s="3" t="inlineStr">
        <is>
          <t>Ví dụ/minh chứng</t>
        </is>
      </c>
      <c r="M5" s="4" t="inlineStr">
        <is>
          <t>Xác nhận</t>
        </is>
      </c>
      <c r="N5" s="84" t="n"/>
      <c r="O5" s="84" t="n"/>
      <c r="P5" s="84" t="n"/>
      <c r="Q5" s="84" t="n"/>
    </row>
    <row r="6" ht="13.9" customHeight="1">
      <c r="A6" s="24" t="n">
        <v>1</v>
      </c>
      <c r="B6" s="25" t="inlineStr">
        <is>
          <t>Nguyễn Bảo An</t>
        </is>
      </c>
      <c r="C6" s="26" t="inlineStr">
        <is>
          <t>Phạm Quang Vinh</t>
        </is>
      </c>
      <c r="D6" s="26" t="n">
        <v>5</v>
      </c>
      <c r="E6" s="26" t="n">
        <v>5</v>
      </c>
      <c r="F6" s="26" t="n">
        <v>5</v>
      </c>
      <c r="G6" s="26" t="n">
        <v>5</v>
      </c>
      <c r="H6" s="26" t="n">
        <v>5</v>
      </c>
      <c r="I6" s="27" t="n">
        <v>5</v>
      </c>
      <c r="J6" s="43">
        <f>IF(C6="","",AVERAGE(D6:I6))</f>
        <v/>
      </c>
      <c r="K6" s="25" t="inlineStr">
        <is>
          <t>Chủ lực mảng quản trị và catalog. Cache-aside làm rất chắc: tách TTL 5s cho số vé còn lại và 300s cho thông tin concert, có invalidation theo prefix nên không bị hiển thị sai tồn kho. Chủ động nhận làm hộ UI cho AI bio khi Thế Vinh đang bận backend.</t>
        </is>
      </c>
      <c r="L6" s="26" t="inlineStr">
        <is>
          <t>PR #5, #6, #17; commit 4160a4c (caching); apps/web/src/features/artist-bio/ArtistBioPanel.tsx</t>
        </is>
      </c>
      <c r="M6" s="27" t="inlineStr">
        <is>
          <t>Có</t>
        </is>
      </c>
      <c r="N6" s="84" t="n"/>
      <c r="O6" s="84" t="n"/>
      <c r="P6" s="84" t="n"/>
      <c r="Q6" s="84" t="n"/>
    </row>
    <row r="7" ht="13.9" customHeight="1">
      <c r="A7" s="28" t="n">
        <v>2</v>
      </c>
      <c r="B7" s="29" t="inlineStr">
        <is>
          <t>Nguyễn Bảo An</t>
        </is>
      </c>
      <c r="C7" s="30" t="inlineStr">
        <is>
          <t>Nguyễn Lê Thế Vinh</t>
        </is>
      </c>
      <c r="D7" s="30" t="n">
        <v>5</v>
      </c>
      <c r="E7" s="30" t="n">
        <v>5</v>
      </c>
      <c r="F7" s="30" t="n">
        <v>5</v>
      </c>
      <c r="G7" s="30" t="n">
        <v>5</v>
      </c>
      <c r="H7" s="30" t="n">
        <v>5</v>
      </c>
      <c r="I7" s="31" t="n">
        <v>5</v>
      </c>
      <c r="J7" s="44">
        <f>IF(C7="","",AVERAGE(D7:I7))</f>
        <v/>
      </c>
      <c r="K7" s="29" t="inlineStr">
        <is>
          <t>Ôm nhiều module khó nhất và đều hoàn thành: mobile check-in, offline sync, AI bio, CSV import, notification. Xử lý xung đột offline rất bài bản — server làm trọng tài, phân biệt rõ DUPLICATE và CONFLICT. Viết 12 tài liệu manual test giúp cả nhóm tái hiện lỗi.</t>
        </is>
      </c>
      <c r="L7" s="30" t="inlineStr">
        <is>
          <t>PR #10, #12, #25, #13, #20; docs/manual-tests/ (12 file); batch-sync.use-case.spec.ts pass</t>
        </is>
      </c>
      <c r="M7" s="31" t="inlineStr">
        <is>
          <t>Có</t>
        </is>
      </c>
      <c r="N7" s="84" t="n"/>
      <c r="O7" s="84" t="n"/>
      <c r="P7" s="84" t="n"/>
      <c r="Q7" s="84" t="n"/>
    </row>
    <row r="8" ht="13.9" customHeight="1">
      <c r="A8" s="28" t="n">
        <v>3</v>
      </c>
      <c r="B8" s="29" t="inlineStr">
        <is>
          <t>Nguyễn Bảo An</t>
        </is>
      </c>
      <c r="C8" s="30" t="inlineStr">
        <is>
          <t>Trương Nhật Đạt</t>
        </is>
      </c>
      <c r="D8" s="30" t="n">
        <v>5</v>
      </c>
      <c r="E8" s="30" t="n">
        <v>5</v>
      </c>
      <c r="F8" s="30" t="n">
        <v>5</v>
      </c>
      <c r="G8" s="30" t="n">
        <v>5</v>
      </c>
      <c r="H8" s="30" t="n">
        <v>5</v>
      </c>
      <c r="I8" s="31" t="n">
        <v>5</v>
      </c>
      <c r="J8" s="44">
        <f>IF(C8="","",AVERAGE(D8:I8))</f>
        <v/>
      </c>
      <c r="K8" s="29" t="inlineStr">
        <is>
          <t>Nắm chắc phần khó nhất của đề: chống oversell và payment resilience. Không chỉ code mà còn viết test đồng thời chứng minh — đây là thứ thầy chắc chắn hỏi. Ngưỡng rate limit tách theo 7 policy chứ không dùng một ngưỡng chung, cho thấy hiểu bài toán tải đột biến.</t>
        </is>
      </c>
      <c r="L8" s="30" t="inlineStr">
        <is>
          <t>commit 512d263, d3e504b, 69b610c, 19ead99; test 29/29 pass (oversell + giới hạn vé đồng thời)</t>
        </is>
      </c>
      <c r="M8" s="31" t="inlineStr">
        <is>
          <t>Có</t>
        </is>
      </c>
      <c r="N8" s="84" t="n"/>
      <c r="O8" s="84" t="n"/>
      <c r="P8" s="84" t="n"/>
      <c r="Q8" s="84" t="n"/>
    </row>
    <row r="9" ht="13.9" customHeight="1">
      <c r="A9" s="28" t="n">
        <v>4</v>
      </c>
      <c r="B9" s="29" t="inlineStr">
        <is>
          <t>Phạm Quang Vinh</t>
        </is>
      </c>
      <c r="C9" s="30" t="inlineStr">
        <is>
          <t>Nguyễn Bảo An</t>
        </is>
      </c>
      <c r="D9" s="30" t="n">
        <v>5</v>
      </c>
      <c r="E9" s="30" t="n">
        <v>5</v>
      </c>
      <c r="F9" s="30" t="n">
        <v>5</v>
      </c>
      <c r="G9" s="30" t="n">
        <v>5</v>
      </c>
      <c r="H9" s="30" t="n">
        <v>5</v>
      </c>
      <c r="I9" s="31" t="n">
        <v>5</v>
      </c>
      <c r="J9" s="44">
        <f>IF(C9="","",AVERAGE(D9:I9))</f>
        <v/>
      </c>
      <c r="K9" s="29" t="inlineStr">
        <is>
          <t>Người dựng nền cho cả nhóm: Blueprint, quy trình OpenSpec (92 change), platform foundation, RBAC. Nhờ có contract và ranh giới module rõ ràng nên 4 người làm song song không giẫm chân nhau. Giải thích được mọi quyết định kiến trúc.</t>
        </is>
      </c>
      <c r="L9" s="30" t="inlineStr">
        <is>
          <t>blueprint/design.md (Decisions 1–12); PR #1, #2, #3; openspec/changes/archive/ (92 change)</t>
        </is>
      </c>
      <c r="M9" s="31" t="inlineStr">
        <is>
          <t>Có</t>
        </is>
      </c>
      <c r="N9" s="84" t="n"/>
      <c r="O9" s="84" t="n"/>
      <c r="P9" s="84" t="n"/>
      <c r="Q9" s="84" t="n"/>
    </row>
    <row r="10" ht="13.9" customHeight="1">
      <c r="A10" s="28" t="n">
        <v>5</v>
      </c>
      <c r="B10" s="29" t="inlineStr">
        <is>
          <t>Phạm Quang Vinh</t>
        </is>
      </c>
      <c r="C10" s="30" t="inlineStr">
        <is>
          <t>Nguyễn Lê Thế Vinh</t>
        </is>
      </c>
      <c r="D10" s="30" t="n">
        <v>5</v>
      </c>
      <c r="E10" s="30" t="n">
        <v>5</v>
      </c>
      <c r="F10" s="30" t="n">
        <v>5</v>
      </c>
      <c r="G10" s="30" t="n">
        <v>5</v>
      </c>
      <c r="H10" s="30" t="n">
        <v>5</v>
      </c>
      <c r="I10" s="31" t="n">
        <v>5</v>
      </c>
      <c r="J10" s="44">
        <f>IF(C10="","",AVERAGE(D10:I10))</f>
        <v/>
      </c>
      <c r="K10" s="29" t="inlineStr">
        <is>
          <t>Khối lượng lớn nhất nhóm và chất lượng đồng đều. Pipeline AI bio thiết kế phòng thủ tốt: validate cả chữ ký nhị phân %PDF-, có fallback cục bộ nên AI chết hệ thống vẫn chạy, và bắt buộc người duyệt trước khi công khai bio.</t>
        </is>
      </c>
      <c r="L10" s="30" t="inlineStr">
        <is>
          <t>PR #13 (AI bio); packages/backend/src/ai-artist-bio/ (12 file test pass)</t>
        </is>
      </c>
      <c r="M10" s="31" t="inlineStr">
        <is>
          <t>Có</t>
        </is>
      </c>
      <c r="N10" s="84" t="n"/>
      <c r="O10" s="84" t="n"/>
      <c r="P10" s="84" t="n"/>
      <c r="Q10" s="84" t="n"/>
    </row>
    <row r="11" ht="13.9" customHeight="1">
      <c r="A11" s="28" t="n">
        <v>6</v>
      </c>
      <c r="B11" s="29" t="inlineStr">
        <is>
          <t>Phạm Quang Vinh</t>
        </is>
      </c>
      <c r="C11" s="30" t="inlineStr">
        <is>
          <t>Trương Nhật Đạt</t>
        </is>
      </c>
      <c r="D11" s="30" t="n">
        <v>5</v>
      </c>
      <c r="E11" s="30" t="n">
        <v>4</v>
      </c>
      <c r="F11" s="30" t="n">
        <v>5</v>
      </c>
      <c r="G11" s="30" t="n">
        <v>5</v>
      </c>
      <c r="H11" s="30" t="n">
        <v>5</v>
      </c>
      <c r="I11" s="31" t="n">
        <v>5</v>
      </c>
      <c r="J11" s="44">
        <f>IF(C11="","",AVERAGE(D11:I11))</f>
        <v/>
      </c>
      <c r="K11" s="29" t="inlineStr">
        <is>
          <t>Mảng payment và tồn kho làm rất kỹ. Idempotency xử lý được cả ca khó là cùng key nhưng khác payload (trả MISMATCH thay vì ghi đè). Đôi lúc merge thẳng vào dev không qua PR nên khó review, nhưng chất lượng code và test thì không có gì phải bàn.</t>
        </is>
      </c>
      <c r="L11" s="30" t="inlineStr">
        <is>
          <t>commit d3e504b (idempotency store); redis-payment-circuit-breaker.spec.ts pass</t>
        </is>
      </c>
      <c r="M11" s="31" t="inlineStr">
        <is>
          <t>Có</t>
        </is>
      </c>
      <c r="N11" s="84" t="n"/>
      <c r="O11" s="84" t="n"/>
      <c r="P11" s="84" t="n"/>
      <c r="Q11" s="84" t="n"/>
    </row>
    <row r="12" ht="13.9" customHeight="1">
      <c r="A12" s="28" t="n">
        <v>7</v>
      </c>
      <c r="B12" s="29" t="inlineStr">
        <is>
          <t>Nguyễn Lê Thế Vinh</t>
        </is>
      </c>
      <c r="C12" s="30" t="inlineStr">
        <is>
          <t>Nguyễn Bảo An</t>
        </is>
      </c>
      <c r="D12" s="30" t="n">
        <v>5</v>
      </c>
      <c r="E12" s="30" t="n">
        <v>5</v>
      </c>
      <c r="F12" s="30" t="n">
        <v>5</v>
      </c>
      <c r="G12" s="30" t="n">
        <v>5</v>
      </c>
      <c r="H12" s="30" t="n">
        <v>5</v>
      </c>
      <c r="I12" s="31" t="n">
        <v>5</v>
      </c>
      <c r="J12" s="44">
        <f>IF(C12="","",AVERAGE(D12:I12))</f>
        <v/>
      </c>
      <c r="K12" s="29" t="inlineStr">
        <is>
          <t>Kiến trúc và quy trình do bạn đặt ra là lý do nhóm chạy được 92 change trong 5 tuần mà không vỡ. Phần RBAC cài đúng 3 lớp, tôi thử gọi API bằng token staff thì bị chặn ngay ở guard, đúng như thiết kế.</t>
        </is>
      </c>
      <c r="L12" s="30" t="inlineStr">
        <is>
          <t>blueprint/design.md — Access Control Design; roles.guard.ts + roles.guard.spec.ts</t>
        </is>
      </c>
      <c r="M12" s="31" t="inlineStr">
        <is>
          <t>Có</t>
        </is>
      </c>
      <c r="N12" s="84" t="n"/>
      <c r="O12" s="84" t="n"/>
      <c r="P12" s="84" t="n"/>
      <c r="Q12" s="84" t="n"/>
    </row>
    <row r="13" ht="13.9" customHeight="1">
      <c r="A13" s="28" t="n">
        <v>8</v>
      </c>
      <c r="B13" s="29" t="inlineStr">
        <is>
          <t>Nguyễn Lê Thế Vinh</t>
        </is>
      </c>
      <c r="C13" s="30" t="inlineStr">
        <is>
          <t>Phạm Quang Vinh</t>
        </is>
      </c>
      <c r="D13" s="30" t="n">
        <v>5</v>
      </c>
      <c r="E13" s="30" t="n">
        <v>5</v>
      </c>
      <c r="F13" s="30" t="n">
        <v>5</v>
      </c>
      <c r="G13" s="30" t="n">
        <v>5</v>
      </c>
      <c r="H13" s="30" t="n">
        <v>5</v>
      </c>
      <c r="I13" s="31" t="n">
        <v>4</v>
      </c>
      <c r="J13" s="44">
        <f>IF(C13="","",AVERAGE(D13:I13))</f>
        <v/>
      </c>
      <c r="K13" s="29" t="inlineStr">
        <is>
          <t>Làm nhanh và ổn định mảng admin/catalog. Đặc biệt đánh giá cao việc bạn nhận làm hộ phần UI AI Artist Bio cho tôi khi tôi còn kẹt ở backend — đúng tinh thần hỗ trợ nhóm. Mảng cơ chế nền (oversell, payment) bạn nắm chưa sâu bằng.</t>
        </is>
      </c>
      <c r="L13" s="30" t="inlineStr">
        <is>
          <t>apps/web/src/features/artist-bio/; PR #15 (seating map SVG); PR #46 (bulk staff + PDF)</t>
        </is>
      </c>
      <c r="M13" s="31" t="inlineStr">
        <is>
          <t>Có</t>
        </is>
      </c>
      <c r="N13" s="84" t="n"/>
      <c r="O13" s="84" t="n"/>
      <c r="P13" s="84" t="n"/>
      <c r="Q13" s="84" t="n"/>
    </row>
    <row r="14" ht="13.9" customHeight="1">
      <c r="A14" s="28" t="n">
        <v>9</v>
      </c>
      <c r="B14" s="29" t="inlineStr">
        <is>
          <t>Nguyễn Lê Thế Vinh</t>
        </is>
      </c>
      <c r="C14" s="30" t="inlineStr">
        <is>
          <t>Trương Nhật Đạt</t>
        </is>
      </c>
      <c r="D14" s="30" t="n">
        <v>5</v>
      </c>
      <c r="E14" s="30" t="n">
        <v>5</v>
      </c>
      <c r="F14" s="30" t="n">
        <v>5</v>
      </c>
      <c r="G14" s="30" t="n">
        <v>5</v>
      </c>
      <c r="H14" s="30" t="n">
        <v>5</v>
      </c>
      <c r="I14" s="31" t="n">
        <v>5</v>
      </c>
      <c r="J14" s="44">
        <f>IF(C14="","",AVERAGE(D14:I14))</f>
        <v/>
      </c>
      <c r="K14" s="29" t="inlineStr">
        <is>
          <t>Xử lý bài toán tranh chấp vé và trừ tiền hai lần rất chuẩn, có test đồng thời làm bằng chứng chứ không nói suông. Bạn cũng hỗ trợ tôi làm UI admin cho Guest List. Tài liệu bạn viết hơi ít so với lượng code.</t>
        </is>
      </c>
      <c r="L14" s="30" t="inlineStr">
        <is>
          <t>prisma-inventory-reservation.repository.spec.ts (29/29 pass); openspec 2026-07-14-integrate-guest-list-ui</t>
        </is>
      </c>
      <c r="M14" s="31" t="inlineStr">
        <is>
          <t>Có</t>
        </is>
      </c>
      <c r="N14" s="84" t="n"/>
      <c r="O14" s="84" t="n"/>
      <c r="P14" s="84" t="n"/>
      <c r="Q14" s="84" t="n"/>
    </row>
    <row r="15" ht="13.9" customHeight="1">
      <c r="A15" s="28" t="n">
        <v>10</v>
      </c>
      <c r="B15" s="29" t="inlineStr">
        <is>
          <t>Trương Nhật Đạt</t>
        </is>
      </c>
      <c r="C15" s="30" t="inlineStr">
        <is>
          <t>Nguyễn Bảo An</t>
        </is>
      </c>
      <c r="D15" s="30" t="n">
        <v>5</v>
      </c>
      <c r="E15" s="30" t="n">
        <v>5</v>
      </c>
      <c r="F15" s="30" t="n">
        <v>5</v>
      </c>
      <c r="G15" s="30" t="n">
        <v>5</v>
      </c>
      <c r="H15" s="30" t="n">
        <v>5</v>
      </c>
      <c r="I15" s="31" t="n">
        <v>5</v>
      </c>
      <c r="J15" s="44">
        <f>IF(C15="","",AVERAGE(D15:I15))</f>
        <v/>
      </c>
      <c r="K15" s="29" t="inlineStr">
        <is>
          <t>Thiết kế transaction boundary trong Blueprint chính là cơ sở để tôi cài chống oversell. Bạn review kỹ và bắt được vài lỗ hổng trong luồng giữ chỗ trước khi tôi merge. Nắm toàn bộ hệ thống, hỏi gì cũng trả lời được.</t>
        </is>
      </c>
      <c r="L15" s="30" t="inlineStr">
        <is>
          <t>blueprint/design.md — Database Design; PR #1, #2, #3</t>
        </is>
      </c>
      <c r="M15" s="31" t="inlineStr">
        <is>
          <t>Có</t>
        </is>
      </c>
      <c r="N15" s="84" t="n"/>
      <c r="O15" s="84" t="n"/>
      <c r="P15" s="84" t="n"/>
      <c r="Q15" s="84" t="n"/>
    </row>
    <row r="16" ht="13.9" customHeight="1">
      <c r="A16" s="28" t="n">
        <v>11</v>
      </c>
      <c r="B16" s="29" t="inlineStr">
        <is>
          <t>Trương Nhật Đạt</t>
        </is>
      </c>
      <c r="C16" s="30" t="inlineStr">
        <is>
          <t>Phạm Quang Vinh</t>
        </is>
      </c>
      <c r="D16" s="30" t="n">
        <v>5</v>
      </c>
      <c r="E16" s="30" t="n">
        <v>5</v>
      </c>
      <c r="F16" s="30" t="n">
        <v>5</v>
      </c>
      <c r="G16" s="30" t="n">
        <v>5</v>
      </c>
      <c r="H16" s="30" t="n">
        <v>5</v>
      </c>
      <c r="I16" s="31" t="n">
        <v>5</v>
      </c>
      <c r="J16" s="44">
        <f>IF(C16="","",AVERAGE(D16:I16))</f>
        <v/>
      </c>
      <c r="K16" s="29" t="inlineStr">
        <is>
          <t>Cache của bạn phối hợp tốt với phần đặt chỗ của tôi: TTL 5s cho số vé còn lại nên UI không lệch nhiều, mà vẫn không ảnh hưởng tới tính đúng đắn vì nguồn sự thật là transaction có row lock. Phần admin/organizer làm đầy đủ và gọn.</t>
        </is>
      </c>
      <c r="L16" s="30" t="inlineStr">
        <is>
          <t>commit 4160a4c; caching-get-concert-availability.use-case.ts (TTL 5s)</t>
        </is>
      </c>
      <c r="M16" s="31" t="inlineStr">
        <is>
          <t>Có</t>
        </is>
      </c>
      <c r="N16" s="84" t="n"/>
      <c r="O16" s="84" t="n"/>
      <c r="P16" s="84" t="n"/>
      <c r="Q16" s="84" t="n"/>
    </row>
    <row r="17" ht="13.9" customHeight="1">
      <c r="A17" s="28" t="n">
        <v>12</v>
      </c>
      <c r="B17" s="29" t="inlineStr">
        <is>
          <t>Trương Nhật Đạt</t>
        </is>
      </c>
      <c r="C17" s="30" t="inlineStr">
        <is>
          <t>Nguyễn Lê Thế Vinh</t>
        </is>
      </c>
      <c r="D17" s="30" t="n">
        <v>5</v>
      </c>
      <c r="E17" s="30" t="n">
        <v>5</v>
      </c>
      <c r="F17" s="30" t="n">
        <v>5</v>
      </c>
      <c r="G17" s="30" t="n">
        <v>5</v>
      </c>
      <c r="H17" s="30" t="n">
        <v>5</v>
      </c>
      <c r="I17" s="31" t="n">
        <v>5</v>
      </c>
      <c r="J17" s="44">
        <f>IF(C17="","",AVERAGE(D17:I17))</f>
        <v/>
      </c>
      <c r="K17" s="29" t="inlineStr">
        <is>
          <t>Ôm nhiều mảng nhất mà vẫn về đích: mobile, offline sync, AI, CSV, notification. Cách bạn chống trùng khi import CSV (checksum sha256 cho file + chuẩn hóa email cho từng dòng) là giải pháp tôi thấy sạch nhất trong nhóm.</t>
        </is>
      </c>
      <c r="L17" s="30" t="inlineStr">
        <is>
          <t>PR #20 (CSV import); claim-guest-list-import.use-case.ts; domain/normalization.ts</t>
        </is>
      </c>
      <c r="M17" s="31" t="inlineStr">
        <is>
          <t>Có</t>
        </is>
      </c>
      <c r="N17" s="84" t="n"/>
      <c r="O17" s="84" t="n"/>
      <c r="P17" s="84" t="n"/>
      <c r="Q17" s="84" t="n"/>
    </row>
    <row r="18" ht="13.9" customHeight="1">
      <c r="A18" s="28" t="n">
        <v>13</v>
      </c>
      <c r="B18" s="29" t="n"/>
      <c r="C18" s="30" t="n"/>
      <c r="D18" s="30" t="n"/>
      <c r="E18" s="30" t="n"/>
      <c r="F18" s="30" t="n"/>
      <c r="G18" s="30" t="n"/>
      <c r="H18" s="30" t="n"/>
      <c r="I18" s="31" t="n"/>
      <c r="J18" s="44">
        <f>IF(C18="","",AVERAGE(D18:I18))</f>
        <v/>
      </c>
      <c r="K18" s="29" t="n"/>
      <c r="L18" s="30" t="n"/>
      <c r="M18" s="31" t="n"/>
      <c r="N18" s="84" t="n"/>
      <c r="O18" s="84" t="n"/>
      <c r="P18" s="84" t="n"/>
      <c r="Q18" s="84" t="n"/>
    </row>
    <row r="19" ht="13.9" customHeight="1">
      <c r="A19" s="28" t="n">
        <v>14</v>
      </c>
      <c r="B19" s="29" t="n"/>
      <c r="C19" s="30" t="n"/>
      <c r="D19" s="30" t="n"/>
      <c r="E19" s="30" t="n"/>
      <c r="F19" s="30" t="n"/>
      <c r="G19" s="30" t="n"/>
      <c r="H19" s="30" t="n"/>
      <c r="I19" s="31" t="n"/>
      <c r="J19" s="44">
        <f>IF(C19="","",AVERAGE(D19:I19))</f>
        <v/>
      </c>
      <c r="K19" s="29" t="n"/>
      <c r="L19" s="30" t="n"/>
      <c r="M19" s="31" t="n"/>
      <c r="N19" s="84" t="n"/>
      <c r="O19" s="84" t="n"/>
      <c r="P19" s="84" t="n"/>
      <c r="Q19" s="84" t="n"/>
    </row>
    <row r="20" ht="13.9" customHeight="1">
      <c r="A20" s="28" t="n">
        <v>15</v>
      </c>
      <c r="B20" s="29" t="n"/>
      <c r="C20" s="30" t="n"/>
      <c r="D20" s="30" t="n"/>
      <c r="E20" s="30" t="n"/>
      <c r="F20" s="30" t="n"/>
      <c r="G20" s="30" t="n"/>
      <c r="H20" s="30" t="n"/>
      <c r="I20" s="31" t="n"/>
      <c r="J20" s="44">
        <f>IF(C20="","",AVERAGE(D20:I20))</f>
        <v/>
      </c>
      <c r="K20" s="29" t="n"/>
      <c r="L20" s="30" t="n"/>
      <c r="M20" s="31" t="n"/>
      <c r="N20" s="84" t="n"/>
      <c r="O20" s="84" t="n"/>
      <c r="P20" s="84" t="n"/>
      <c r="Q20" s="84" t="n"/>
    </row>
    <row r="21" ht="13.9" customHeight="1">
      <c r="A21" s="28" t="n">
        <v>16</v>
      </c>
      <c r="B21" s="29" t="n"/>
      <c r="C21" s="30" t="n"/>
      <c r="D21" s="30" t="n"/>
      <c r="E21" s="30" t="n"/>
      <c r="F21" s="30" t="n"/>
      <c r="G21" s="30" t="n"/>
      <c r="H21" s="30" t="n"/>
      <c r="I21" s="31" t="n"/>
      <c r="J21" s="44">
        <f>IF(C21="","",AVERAGE(D21:I21))</f>
        <v/>
      </c>
      <c r="K21" s="29" t="n"/>
      <c r="L21" s="30" t="n"/>
      <c r="M21" s="31" t="n"/>
      <c r="N21" s="84" t="n"/>
      <c r="O21" s="84" t="n"/>
      <c r="P21" s="84" t="n"/>
      <c r="Q21" s="84" t="n"/>
    </row>
    <row r="22" ht="13.9" customHeight="1">
      <c r="A22" s="28" t="n">
        <v>17</v>
      </c>
      <c r="B22" s="29" t="n"/>
      <c r="C22" s="30" t="n"/>
      <c r="D22" s="30" t="n"/>
      <c r="E22" s="30" t="n"/>
      <c r="F22" s="30" t="n"/>
      <c r="G22" s="30" t="n"/>
      <c r="H22" s="30" t="n"/>
      <c r="I22" s="31" t="n"/>
      <c r="J22" s="44">
        <f>IF(C22="","",AVERAGE(D22:I22))</f>
        <v/>
      </c>
      <c r="K22" s="29" t="n"/>
      <c r="L22" s="30" t="n"/>
      <c r="M22" s="31" t="n"/>
      <c r="N22" s="84" t="n"/>
      <c r="O22" s="84" t="n"/>
      <c r="P22" s="84" t="n"/>
      <c r="Q22" s="84" t="n"/>
    </row>
    <row r="23" ht="13.9" customHeight="1">
      <c r="A23" s="28" t="n">
        <v>18</v>
      </c>
      <c r="B23" s="29" t="n"/>
      <c r="C23" s="30" t="n"/>
      <c r="D23" s="30" t="n"/>
      <c r="E23" s="30" t="n"/>
      <c r="F23" s="30" t="n"/>
      <c r="G23" s="30" t="n"/>
      <c r="H23" s="30" t="n"/>
      <c r="I23" s="31" t="n"/>
      <c r="J23" s="44">
        <f>IF(C23="","",AVERAGE(D23:I23))</f>
        <v/>
      </c>
      <c r="K23" s="29" t="n"/>
      <c r="L23" s="30" t="n"/>
      <c r="M23" s="31" t="n"/>
      <c r="N23" s="84" t="n"/>
      <c r="O23" s="84" t="n"/>
      <c r="P23" s="84" t="n"/>
      <c r="Q23" s="84" t="n"/>
    </row>
    <row r="24" ht="13.9" customHeight="1">
      <c r="A24" s="28" t="n">
        <v>19</v>
      </c>
      <c r="B24" s="29" t="n"/>
      <c r="C24" s="30" t="n"/>
      <c r="D24" s="30" t="n"/>
      <c r="E24" s="30" t="n"/>
      <c r="F24" s="30" t="n"/>
      <c r="G24" s="30" t="n"/>
      <c r="H24" s="30" t="n"/>
      <c r="I24" s="31" t="n"/>
      <c r="J24" s="44">
        <f>IF(C24="","",AVERAGE(D24:I24))</f>
        <v/>
      </c>
      <c r="K24" s="29" t="n"/>
      <c r="L24" s="30" t="n"/>
      <c r="M24" s="31" t="n"/>
      <c r="N24" s="84" t="n"/>
      <c r="O24" s="84" t="n"/>
      <c r="P24" s="84" t="n"/>
      <c r="Q24" s="84" t="n"/>
    </row>
    <row r="25" ht="13.9" customHeight="1">
      <c r="A25" s="28" t="n">
        <v>20</v>
      </c>
      <c r="B25" s="29" t="n"/>
      <c r="C25" s="30" t="n"/>
      <c r="D25" s="30" t="n"/>
      <c r="E25" s="30" t="n"/>
      <c r="F25" s="30" t="n"/>
      <c r="G25" s="30" t="n"/>
      <c r="H25" s="30" t="n"/>
      <c r="I25" s="31" t="n"/>
      <c r="J25" s="44">
        <f>IF(C25="","",AVERAGE(D25:I25))</f>
        <v/>
      </c>
      <c r="K25" s="29" t="n"/>
      <c r="L25" s="30" t="n"/>
      <c r="M25" s="31" t="n"/>
      <c r="N25" s="84" t="n"/>
      <c r="O25" s="84" t="n"/>
      <c r="P25" s="84" t="n"/>
      <c r="Q25" s="84" t="n"/>
    </row>
    <row r="26" ht="13.9" customHeight="1">
      <c r="A26" s="28" t="n">
        <v>21</v>
      </c>
      <c r="B26" s="29" t="n"/>
      <c r="C26" s="30" t="n"/>
      <c r="D26" s="30" t="n"/>
      <c r="E26" s="30" t="n"/>
      <c r="F26" s="30" t="n"/>
      <c r="G26" s="30" t="n"/>
      <c r="H26" s="30" t="n"/>
      <c r="I26" s="31" t="n"/>
      <c r="J26" s="44">
        <f>IF(C26="","",AVERAGE(D26:I26))</f>
        <v/>
      </c>
      <c r="K26" s="29" t="n"/>
      <c r="L26" s="30" t="n"/>
      <c r="M26" s="31" t="n"/>
      <c r="N26" s="84" t="n"/>
      <c r="O26" s="84" t="n"/>
      <c r="P26" s="84" t="n"/>
      <c r="Q26" s="84" t="n"/>
    </row>
    <row r="27" ht="13.9" customHeight="1">
      <c r="A27" s="28" t="n">
        <v>22</v>
      </c>
      <c r="B27" s="29" t="n"/>
      <c r="C27" s="30" t="n"/>
      <c r="D27" s="30" t="n"/>
      <c r="E27" s="30" t="n"/>
      <c r="F27" s="30" t="n"/>
      <c r="G27" s="30" t="n"/>
      <c r="H27" s="30" t="n"/>
      <c r="I27" s="31" t="n"/>
      <c r="J27" s="44">
        <f>IF(C27="","",AVERAGE(D27:I27))</f>
        <v/>
      </c>
      <c r="K27" s="29" t="n"/>
      <c r="L27" s="30" t="n"/>
      <c r="M27" s="31" t="n"/>
      <c r="N27" s="84" t="n"/>
      <c r="O27" s="84" t="n"/>
      <c r="P27" s="84" t="n"/>
      <c r="Q27" s="84" t="n"/>
    </row>
    <row r="28" ht="13.9" customHeight="1">
      <c r="A28" s="28" t="n">
        <v>23</v>
      </c>
      <c r="B28" s="29" t="n"/>
      <c r="C28" s="30" t="n"/>
      <c r="D28" s="30" t="n"/>
      <c r="E28" s="30" t="n"/>
      <c r="F28" s="30" t="n"/>
      <c r="G28" s="30" t="n"/>
      <c r="H28" s="30" t="n"/>
      <c r="I28" s="31" t="n"/>
      <c r="J28" s="44">
        <f>IF(C28="","",AVERAGE(D28:I28))</f>
        <v/>
      </c>
      <c r="K28" s="29" t="n"/>
      <c r="L28" s="30" t="n"/>
      <c r="M28" s="31" t="n"/>
      <c r="N28" s="84" t="n"/>
      <c r="O28" s="84" t="n"/>
      <c r="P28" s="84" t="n"/>
      <c r="Q28" s="84" t="n"/>
    </row>
    <row r="29" ht="13.9" customHeight="1">
      <c r="A29" s="32" t="n">
        <v>24</v>
      </c>
      <c r="B29" s="33" t="n"/>
      <c r="C29" s="34" t="n"/>
      <c r="D29" s="34" t="n"/>
      <c r="E29" s="34" t="n"/>
      <c r="F29" s="34" t="n"/>
      <c r="G29" s="34" t="n"/>
      <c r="H29" s="34" t="n"/>
      <c r="I29" s="35" t="n"/>
      <c r="J29" s="45">
        <f>IF(C29="","",AVERAGE(D29:I29))</f>
        <v/>
      </c>
      <c r="K29" s="33" t="n"/>
      <c r="L29" s="34" t="n"/>
      <c r="M29" s="35" t="n"/>
      <c r="N29" s="84" t="n"/>
      <c r="O29" s="84" t="n"/>
      <c r="P29" s="84" t="n"/>
      <c r="Q29" s="84" t="n"/>
    </row>
    <row r="30" ht="13.9" customHeight="1">
      <c r="A30" s="84" t="n"/>
      <c r="B30" s="84" t="n"/>
      <c r="C30" s="84" t="n"/>
      <c r="D30" s="84" t="n"/>
      <c r="E30" s="84" t="n"/>
      <c r="F30" s="84" t="n"/>
      <c r="G30" s="84" t="n"/>
      <c r="H30" s="84" t="n"/>
      <c r="I30" s="84" t="n"/>
      <c r="J30" s="84" t="n"/>
      <c r="K30" s="84" t="n"/>
      <c r="L30" s="84" t="n"/>
      <c r="M30" s="84" t="n"/>
      <c r="N30" s="84" t="n"/>
      <c r="O30" s="84" t="n"/>
      <c r="P30" s="84" t="n"/>
      <c r="Q30" s="84" t="n"/>
    </row>
    <row r="31" ht="13.9" customHeight="1">
      <c r="A31" s="84" t="n"/>
      <c r="B31" s="84" t="n"/>
      <c r="C31" s="84" t="n"/>
      <c r="D31" s="84" t="n"/>
      <c r="E31" s="84" t="n"/>
      <c r="F31" s="84" t="n"/>
      <c r="G31" s="84" t="n"/>
      <c r="H31" s="84" t="n"/>
      <c r="I31" s="84" t="n"/>
      <c r="J31" s="84" t="n"/>
      <c r="K31" s="84" t="n"/>
      <c r="L31" s="84" t="n"/>
      <c r="M31" s="84" t="n"/>
      <c r="N31" s="84" t="n"/>
      <c r="O31" s="84" t="n"/>
      <c r="P31" s="84" t="n"/>
      <c r="Q31" s="84" t="n"/>
    </row>
    <row r="32" ht="13.9" customHeight="1">
      <c r="A32" s="84" t="n"/>
      <c r="B32" s="84" t="n"/>
      <c r="C32" s="84" t="n"/>
      <c r="D32" s="84" t="n"/>
      <c r="E32" s="84" t="n"/>
      <c r="F32" s="84" t="n"/>
      <c r="G32" s="84" t="n"/>
      <c r="H32" s="84" t="n"/>
      <c r="I32" s="84" t="n"/>
      <c r="J32" s="84" t="n"/>
      <c r="K32" s="84" t="n"/>
      <c r="L32" s="84" t="n"/>
      <c r="M32" s="84" t="n"/>
      <c r="N32" s="84" t="n"/>
      <c r="O32" s="84" t="n"/>
      <c r="P32" s="84" t="n"/>
      <c r="Q32" s="84" t="n"/>
    </row>
    <row r="33" ht="13.9" customHeight="1">
      <c r="A33" s="84" t="n"/>
      <c r="B33" s="84" t="n"/>
      <c r="C33" s="84" t="n"/>
      <c r="D33" s="84" t="n"/>
      <c r="E33" s="84" t="n"/>
      <c r="F33" s="84" t="n"/>
      <c r="G33" s="84" t="n"/>
      <c r="H33" s="84" t="n"/>
      <c r="I33" s="84" t="n"/>
      <c r="J33" s="84" t="n"/>
      <c r="K33" s="84" t="n"/>
      <c r="L33" s="84" t="n"/>
      <c r="M33" s="84" t="n"/>
      <c r="N33" s="84" t="n"/>
      <c r="O33" s="84" t="n"/>
      <c r="P33" s="84" t="n"/>
      <c r="Q33" s="84" t="n"/>
    </row>
    <row r="34" ht="13.9" customHeight="1">
      <c r="A34" s="84" t="n"/>
      <c r="B34" s="84" t="n"/>
      <c r="C34" s="84" t="n"/>
      <c r="D34" s="84" t="n"/>
      <c r="E34" s="84" t="n"/>
      <c r="F34" s="84" t="n"/>
      <c r="G34" s="84" t="n"/>
      <c r="H34" s="84" t="n"/>
      <c r="I34" s="84" t="n"/>
      <c r="J34" s="84" t="n"/>
      <c r="K34" s="84" t="n"/>
      <c r="L34" s="84" t="n"/>
      <c r="M34" s="84" t="n"/>
      <c r="N34" s="84" t="n"/>
      <c r="O34" s="84" t="n"/>
      <c r="P34" s="84" t="n"/>
      <c r="Q34" s="84" t="n"/>
    </row>
    <row r="35" ht="13.9" customHeight="1">
      <c r="A35" s="84" t="n"/>
      <c r="B35" s="84" t="n"/>
      <c r="C35" s="84" t="n"/>
      <c r="D35" s="84" t="n"/>
      <c r="E35" s="84" t="n"/>
      <c r="F35" s="84" t="n"/>
      <c r="G35" s="84" t="n"/>
      <c r="H35" s="84" t="n"/>
      <c r="I35" s="84" t="n"/>
      <c r="J35" s="84" t="n"/>
      <c r="K35" s="84" t="n"/>
      <c r="L35" s="84" t="n"/>
      <c r="M35" s="84" t="n"/>
      <c r="N35" s="84" t="n"/>
      <c r="O35" s="84" t="n"/>
      <c r="P35" s="84" t="n"/>
      <c r="Q35" s="84" t="n"/>
    </row>
    <row r="36" ht="13.9" customHeight="1">
      <c r="A36" s="84" t="n"/>
      <c r="B36" s="84" t="n"/>
      <c r="C36" s="84" t="n"/>
      <c r="D36" s="84" t="n"/>
      <c r="E36" s="84" t="n"/>
      <c r="F36" s="84" t="n"/>
      <c r="G36" s="84" t="n"/>
      <c r="H36" s="84" t="n"/>
      <c r="I36" s="84" t="n"/>
      <c r="J36" s="84" t="n"/>
      <c r="K36" s="84" t="n"/>
      <c r="L36" s="84" t="n"/>
      <c r="M36" s="84" t="n"/>
      <c r="N36" s="84" t="n"/>
      <c r="O36" s="84" t="n"/>
      <c r="P36" s="84" t="n"/>
      <c r="Q36" s="84" t="n"/>
    </row>
    <row r="37" ht="13.9" customHeight="1">
      <c r="A37" s="84" t="n"/>
      <c r="B37" s="84" t="n"/>
      <c r="C37" s="84" t="n"/>
      <c r="D37" s="84" t="n"/>
      <c r="E37" s="84" t="n"/>
      <c r="F37" s="84" t="n"/>
      <c r="G37" s="84" t="n"/>
      <c r="H37" s="84" t="n"/>
      <c r="I37" s="84" t="n"/>
      <c r="J37" s="84" t="n"/>
      <c r="K37" s="84" t="n"/>
      <c r="L37" s="84" t="n"/>
      <c r="M37" s="84" t="n"/>
      <c r="N37" s="84" t="n"/>
      <c r="O37" s="84" t="n"/>
      <c r="P37" s="84" t="n"/>
      <c r="Q37" s="84" t="n"/>
    </row>
    <row r="38" ht="13.9" customHeight="1">
      <c r="A38" s="84" t="n"/>
      <c r="B38" s="84" t="n"/>
      <c r="C38" s="84" t="n"/>
      <c r="D38" s="84" t="n"/>
      <c r="E38" s="84" t="n"/>
      <c r="F38" s="84" t="n"/>
      <c r="G38" s="84" t="n"/>
      <c r="H38" s="84" t="n"/>
      <c r="I38" s="84" t="n"/>
      <c r="J38" s="84" t="n"/>
      <c r="K38" s="84" t="n"/>
      <c r="L38" s="84" t="n"/>
      <c r="M38" s="84" t="n"/>
      <c r="N38" s="84" t="n"/>
      <c r="O38" s="84" t="n"/>
      <c r="P38" s="84" t="n"/>
      <c r="Q38" s="84" t="n"/>
    </row>
    <row r="39" ht="13.9" customHeight="1">
      <c r="A39" s="84" t="n"/>
      <c r="B39" s="84" t="n"/>
      <c r="C39" s="84" t="n"/>
      <c r="D39" s="84" t="n"/>
      <c r="E39" s="84" t="n"/>
      <c r="F39" s="84" t="n"/>
      <c r="G39" s="84" t="n"/>
      <c r="H39" s="84" t="n"/>
      <c r="I39" s="84" t="n"/>
      <c r="J39" s="84" t="n"/>
      <c r="K39" s="84" t="n"/>
      <c r="L39" s="84" t="n"/>
      <c r="M39" s="84" t="n"/>
      <c r="N39" s="84" t="n"/>
      <c r="O39" s="84" t="n"/>
      <c r="P39" s="84" t="n"/>
      <c r="Q39" s="84" t="n"/>
    </row>
    <row r="40" ht="13.9" customHeight="1">
      <c r="A40" s="84" t="n"/>
      <c r="B40" s="84" t="n"/>
      <c r="C40" s="84" t="n"/>
      <c r="D40" s="84" t="n"/>
      <c r="E40" s="84" t="n"/>
      <c r="F40" s="84" t="n"/>
      <c r="G40" s="84" t="n"/>
      <c r="H40" s="84" t="n"/>
      <c r="I40" s="84" t="n"/>
      <c r="J40" s="84" t="n"/>
      <c r="K40" s="84" t="n"/>
      <c r="L40" s="84" t="n"/>
      <c r="M40" s="84" t="n"/>
      <c r="N40" s="84" t="n"/>
      <c r="O40" s="84" t="n"/>
      <c r="P40" s="84" t="n"/>
      <c r="Q40" s="84" t="n"/>
    </row>
    <row r="41" ht="13.9" customHeight="1">
      <c r="A41" s="84" t="n"/>
      <c r="B41" s="84" t="n"/>
      <c r="C41" s="84" t="n"/>
      <c r="D41" s="84" t="n"/>
      <c r="E41" s="84" t="n"/>
      <c r="F41" s="84" t="n"/>
      <c r="G41" s="84" t="n"/>
      <c r="H41" s="84" t="n"/>
      <c r="I41" s="84" t="n"/>
      <c r="J41" s="84" t="n"/>
      <c r="K41" s="84" t="n"/>
      <c r="L41" s="84" t="n"/>
      <c r="M41" s="84" t="n"/>
      <c r="N41" s="84" t="n"/>
      <c r="O41" s="84" t="n"/>
      <c r="P41" s="84" t="n"/>
      <c r="Q41" s="84" t="n"/>
    </row>
    <row r="42" ht="13.9" customHeight="1">
      <c r="A42" s="84" t="n"/>
      <c r="B42" s="84" t="n"/>
      <c r="C42" s="84" t="n"/>
      <c r="D42" s="84" t="n"/>
      <c r="E42" s="84" t="n"/>
      <c r="F42" s="84" t="n"/>
      <c r="G42" s="84" t="n"/>
      <c r="H42" s="84" t="n"/>
      <c r="I42" s="84" t="n"/>
      <c r="J42" s="84" t="n"/>
      <c r="K42" s="84" t="n"/>
      <c r="L42" s="84" t="n"/>
      <c r="M42" s="84" t="n"/>
      <c r="N42" s="84" t="n"/>
      <c r="O42" s="84" t="n"/>
      <c r="P42" s="84" t="n"/>
      <c r="Q42" s="84" t="n"/>
    </row>
    <row r="43" ht="13.9" customHeight="1">
      <c r="A43" s="84" t="n"/>
      <c r="B43" s="84" t="n"/>
      <c r="C43" s="84" t="n"/>
      <c r="D43" s="84" t="n"/>
      <c r="E43" s="84" t="n"/>
      <c r="F43" s="84" t="n"/>
      <c r="G43" s="84" t="n"/>
      <c r="H43" s="84" t="n"/>
      <c r="I43" s="84" t="n"/>
      <c r="J43" s="84" t="n"/>
      <c r="K43" s="84" t="n"/>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2">
    <mergeCell ref="A3:M3"/>
    <mergeCell ref="A1:M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8" customWidth="1" min="1" max="1"/>
    <col width="19" customWidth="1" min="2" max="2"/>
    <col width="18" customWidth="1" min="3" max="3"/>
    <col width="25" customWidth="1" min="4" max="4"/>
    <col width="47" customWidth="1" min="5" max="5"/>
    <col width="42" customWidth="1" min="6" max="6"/>
    <col width="13" customWidth="1" min="7" max="7"/>
    <col width="45" customWidth="1" min="8" max="8"/>
    <col width="16" customWidth="1" min="9" max="9"/>
    <col width="35" customWidth="1" min="10" max="10"/>
  </cols>
  <sheetData>
    <row r="1" ht="15" customHeight="1">
      <c r="A1" s="127" t="inlineStr">
        <is>
          <t>DANH MỤC MINH CHỨNG VÀ KIỂM TRA GOOGLE DRIVE</t>
        </is>
      </c>
      <c r="K1" s="84" t="n"/>
      <c r="L1" s="84" t="n"/>
      <c r="M1" s="84" t="n"/>
      <c r="N1" s="84" t="n"/>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11" customHeight="1">
      <c r="A3" s="129" t="inlineStr">
        <is>
          <t>A. DANH MỤC MINH CHỨNG</t>
        </is>
      </c>
      <c r="K3" s="84" t="n"/>
      <c r="L3" s="84" t="n"/>
      <c r="M3" s="84" t="n"/>
      <c r="N3" s="84" t="n"/>
      <c r="O3" s="84" t="n"/>
      <c r="P3" s="84" t="n"/>
      <c r="Q3" s="84" t="n"/>
    </row>
    <row r="4" ht="13.9" customHeight="1">
      <c r="A4" s="84" t="n"/>
      <c r="B4" s="84" t="n"/>
      <c r="C4" s="84" t="n"/>
      <c r="D4" s="84" t="n"/>
      <c r="E4" s="84" t="n"/>
      <c r="F4" s="84" t="n"/>
      <c r="G4" s="84" t="n"/>
      <c r="H4" s="84" t="n"/>
      <c r="I4" s="84" t="n"/>
      <c r="J4" s="84" t="n"/>
      <c r="K4" s="84" t="n"/>
      <c r="L4" s="84" t="n"/>
      <c r="M4" s="84" t="n"/>
      <c r="N4" s="84" t="n"/>
      <c r="O4" s="84" t="n"/>
      <c r="P4" s="84" t="n"/>
      <c r="Q4" s="84" t="n"/>
    </row>
    <row r="5" ht="13.9" customHeight="1">
      <c r="A5" s="2" t="inlineStr">
        <is>
          <t>ID</t>
        </is>
      </c>
      <c r="B5" s="3" t="inlineStr">
        <is>
          <t>Loại</t>
        </is>
      </c>
      <c r="C5" s="3" t="inlineStr">
        <is>
          <t>Requirement ID</t>
        </is>
      </c>
      <c r="D5" s="3" t="inlineStr">
        <is>
          <t>Thành viên</t>
        </is>
      </c>
      <c r="E5" s="3" t="inlineStr">
        <is>
          <t>Mô tả minh chứng</t>
        </is>
      </c>
      <c r="F5" s="3" t="inlineStr">
        <is>
          <t>URL/Path</t>
        </is>
      </c>
      <c r="G5" s="3" t="inlineStr">
        <is>
          <t>Ngày</t>
        </is>
      </c>
      <c r="H5" s="3" t="inlineStr">
        <is>
          <t>Cách kiểm tra</t>
        </is>
      </c>
      <c r="I5" s="3" t="inlineStr">
        <is>
          <t>Kết quả</t>
        </is>
      </c>
      <c r="J5" s="4" t="inlineStr">
        <is>
          <t>Ghi chú</t>
        </is>
      </c>
      <c r="K5" s="84" t="n"/>
      <c r="L5" s="84" t="n"/>
      <c r="M5" s="84" t="n"/>
      <c r="N5" s="84" t="n"/>
      <c r="O5" s="84" t="n"/>
      <c r="P5" s="84" t="n"/>
      <c r="Q5" s="84" t="n"/>
    </row>
    <row r="6" ht="13.9" customHeight="1">
      <c r="A6" s="25" t="inlineStr">
        <is>
          <t>MC01</t>
        </is>
      </c>
      <c r="B6" s="26" t="inlineStr">
        <is>
          <t>Tài liệu</t>
        </is>
      </c>
      <c r="C6" s="26" t="inlineStr">
        <is>
          <t>BP01</t>
        </is>
      </c>
      <c r="D6" s="26" t="inlineStr">
        <is>
          <t>Nguyễn Bảo An</t>
        </is>
      </c>
      <c r="E6" s="26" t="inlineStr">
        <is>
          <t>Blueprint kiến trúc tổng thể: modular monolith NestJS, clean/hexagonal, failure boundary.</t>
        </is>
      </c>
      <c r="F6" s="26" t="inlineStr">
        <is>
          <t>blueprint/design.md (commit 765d282)</t>
        </is>
      </c>
      <c r="G6" s="49" t="inlineStr">
        <is>
          <t>2026-06-13</t>
        </is>
      </c>
      <c r="H6" s="26" t="inlineStr">
        <is>
          <t>Mở blueprint/design.md, đọc mục Context và Decisions 1–12.</t>
        </is>
      </c>
      <c r="I6" s="26" t="inlineStr">
        <is>
          <t>Đạt</t>
        </is>
      </c>
      <c r="J6" s="27" t="n"/>
      <c r="K6" s="84" t="n"/>
      <c r="L6" s="84" t="n"/>
      <c r="M6" s="84" t="n"/>
      <c r="N6" s="84" t="n"/>
      <c r="O6" s="84" t="n"/>
      <c r="P6" s="84" t="n"/>
      <c r="Q6" s="84" t="n"/>
    </row>
    <row r="7" ht="13.9" customHeight="1">
      <c r="A7" s="29" t="inlineStr">
        <is>
          <t>MC02</t>
        </is>
      </c>
      <c r="B7" s="30" t="inlineStr">
        <is>
          <t>Sơ đồ</t>
        </is>
      </c>
      <c r="C7" s="30" t="inlineStr">
        <is>
          <t>BP02</t>
        </is>
      </c>
      <c r="D7" s="30" t="inlineStr">
        <is>
          <t>Nguyễn Bảo An</t>
        </is>
      </c>
      <c r="E7" s="30" t="inlineStr">
        <is>
          <t>Sơ đồ C4 Level 1 — System Context: actor và hệ thống ngoài (VNPAY/MoMo, AI, CSV).</t>
        </is>
      </c>
      <c r="F7" s="30" t="inlineStr">
        <is>
          <t>blueprint/design.md — "C4 Level 1: System Context"</t>
        </is>
      </c>
      <c r="G7" s="50" t="inlineStr">
        <is>
          <t>2026-06-13</t>
        </is>
      </c>
      <c r="H7" s="30" t="inlineStr">
        <is>
          <t>Mở design.md, tìm mục C4 Level 1; sơ đồ mermaid render được trên GitHub.</t>
        </is>
      </c>
      <c r="I7" s="30" t="inlineStr">
        <is>
          <t>Đạt</t>
        </is>
      </c>
      <c r="J7" s="31" t="n"/>
      <c r="K7" s="84" t="n"/>
      <c r="L7" s="84" t="n"/>
      <c r="M7" s="84" t="n"/>
      <c r="N7" s="84" t="n"/>
      <c r="O7" s="84" t="n"/>
      <c r="P7" s="84" t="n"/>
      <c r="Q7" s="84" t="n"/>
    </row>
    <row r="8" ht="13.9" customHeight="1">
      <c r="A8" s="29" t="inlineStr">
        <is>
          <t>MC03</t>
        </is>
      </c>
      <c r="B8" s="30" t="inlineStr">
        <is>
          <t>Sơ đồ</t>
        </is>
      </c>
      <c r="C8" s="30" t="inlineStr">
        <is>
          <t>BP03</t>
        </is>
      </c>
      <c r="D8" s="30" t="inlineStr">
        <is>
          <t>Nguyễn Bảo An</t>
        </is>
      </c>
      <c r="E8" s="30" t="inlineStr">
        <is>
          <t>Sơ đồ C4 Level 2 — Container: api, worker, web, audience-web, mobile, Postgres, Redis.</t>
        </is>
      </c>
      <c r="F8" s="30" t="inlineStr">
        <is>
          <t>blueprint/design.md — "C4 Level 2: Container"</t>
        </is>
      </c>
      <c r="G8" s="50" t="inlineStr">
        <is>
          <t>2026-06-13</t>
        </is>
      </c>
      <c r="H8" s="30" t="inlineStr">
        <is>
          <t>Đối chiếu sơ đồ với docker-compose.yml và thư mục apps/.</t>
        </is>
      </c>
      <c r="I8" s="30" t="inlineStr">
        <is>
          <t>Đạt</t>
        </is>
      </c>
      <c r="J8" s="31" t="n"/>
      <c r="K8" s="84" t="n"/>
      <c r="L8" s="84" t="n"/>
      <c r="M8" s="84" t="n"/>
      <c r="N8" s="84" t="n"/>
      <c r="O8" s="84" t="n"/>
      <c r="P8" s="84" t="n"/>
      <c r="Q8" s="84" t="n"/>
    </row>
    <row r="9" ht="13.9" customHeight="1">
      <c r="A9" s="29" t="inlineStr">
        <is>
          <t>MC04</t>
        </is>
      </c>
      <c r="B9" s="30" t="inlineStr">
        <is>
          <t>Sơ đồ</t>
        </is>
      </c>
      <c r="C9" s="30" t="inlineStr">
        <is>
          <t>BP04</t>
        </is>
      </c>
      <c r="D9" s="30" t="inlineStr">
        <is>
          <t>Nguyễn Bảo An</t>
        </is>
      </c>
      <c r="E9" s="30" t="inlineStr">
        <is>
          <t>High-Level Architecture Flow: luồng dữ liệu và ranh giới lỗi cho payment, AI, CSV, offline check-in.</t>
        </is>
      </c>
      <c r="F9" s="30" t="inlineStr">
        <is>
          <t>blueprint/design.md — "High-Level Architecture Flow"</t>
        </is>
      </c>
      <c r="G9" s="50" t="inlineStr">
        <is>
          <t>2026-06-13</t>
        </is>
      </c>
      <c r="H9" s="30" t="inlineStr">
        <is>
          <t>Mở design.md mục High-Level Architecture Flow.</t>
        </is>
      </c>
      <c r="I9" s="30" t="inlineStr">
        <is>
          <t>Đạt</t>
        </is>
      </c>
      <c r="J9" s="31" t="n"/>
      <c r="K9" s="84" t="n"/>
      <c r="L9" s="84" t="n"/>
      <c r="M9" s="84" t="n"/>
      <c r="N9" s="84" t="n"/>
      <c r="O9" s="84" t="n"/>
      <c r="P9" s="84" t="n"/>
      <c r="Q9" s="84" t="n"/>
    </row>
    <row r="10" ht="13.9" customHeight="1">
      <c r="A10" s="29" t="inlineStr">
        <is>
          <t>MC05</t>
        </is>
      </c>
      <c r="B10" s="30" t="inlineStr">
        <is>
          <t>Tài liệu</t>
        </is>
      </c>
      <c r="C10" s="30" t="inlineStr">
        <is>
          <t>BP05</t>
        </is>
      </c>
      <c r="D10" s="30" t="inlineStr">
        <is>
          <t>Nguyễn Bảo An</t>
        </is>
      </c>
      <c r="E10" s="30" t="inlineStr">
        <is>
          <t>Thiết kế dữ liệu: chọn PostgreSQL làm nguồn sự thật, Redis chỉ giữ state phái sinh; schema entity chính.</t>
        </is>
      </c>
      <c r="F10" s="30" t="inlineStr">
        <is>
          <t>blueprint/design.md — "Database Design"; prisma/schema.prisma</t>
        </is>
      </c>
      <c r="G10" s="50" t="inlineStr">
        <is>
          <t>2026-06-13</t>
        </is>
      </c>
      <c r="H10" s="30" t="inlineStr">
        <is>
          <t>Đối chiếu mục Database Design với prisma/schema.prisma.</t>
        </is>
      </c>
      <c r="I10" s="30" t="inlineStr">
        <is>
          <t>Đạt</t>
        </is>
      </c>
      <c r="J10" s="31" t="n"/>
      <c r="K10" s="84" t="n"/>
      <c r="L10" s="84" t="n"/>
      <c r="M10" s="84" t="n"/>
      <c r="N10" s="84" t="n"/>
      <c r="O10" s="84" t="n"/>
      <c r="P10" s="84" t="n"/>
      <c r="Q10" s="84" t="n"/>
    </row>
    <row r="11" ht="13.9" customHeight="1">
      <c r="A11" s="29" t="inlineStr">
        <is>
          <t>MC06</t>
        </is>
      </c>
      <c r="B11" s="30" t="inlineStr">
        <is>
          <t>Tài liệu</t>
        </is>
      </c>
      <c r="C11" s="30" t="inlineStr">
        <is>
          <t>BP06</t>
        </is>
      </c>
      <c r="D11" s="30" t="inlineStr">
        <is>
          <t>Nguyễn Bảo An</t>
        </is>
      </c>
      <c r="E11" s="30" t="inlineStr">
        <is>
          <t>Đặc tả luồng mua vé từ bấm mua đến nhận e-ticket, gồm xử lý lỗi giữa chừng.</t>
        </is>
      </c>
      <c r="F11" s="30" t="inlineStr">
        <is>
          <t>blueprint/design.md — "Ticket purchase from buy click to e-ticket"</t>
        </is>
      </c>
      <c r="G11" s="50" t="inlineStr">
        <is>
          <t>2026-06-13</t>
        </is>
      </c>
      <c r="H11" s="30" t="inlineStr">
        <is>
          <t>Đọc mục Critical Business Flows trong design.md.</t>
        </is>
      </c>
      <c r="I11" s="30" t="inlineStr">
        <is>
          <t>Đạt</t>
        </is>
      </c>
      <c r="J11" s="31" t="n"/>
      <c r="K11" s="84" t="n"/>
      <c r="L11" s="84" t="n"/>
      <c r="M11" s="84" t="n"/>
      <c r="N11" s="84" t="n"/>
      <c r="O11" s="84" t="n"/>
      <c r="P11" s="84" t="n"/>
      <c r="Q11" s="84" t="n"/>
    </row>
    <row r="12" ht="13.9" customHeight="1">
      <c r="A12" s="29" t="inlineStr">
        <is>
          <t>MC07</t>
        </is>
      </c>
      <c r="B12" s="30" t="inlineStr">
        <is>
          <t>Tài liệu</t>
        </is>
      </c>
      <c r="C12" s="30" t="inlineStr">
        <is>
          <t>BP07</t>
        </is>
      </c>
      <c r="D12" s="30" t="inlineStr">
        <is>
          <t>Nguyễn Lê Thế Vinh</t>
        </is>
      </c>
      <c r="E12" s="30" t="inlineStr">
        <is>
          <t>Đặc tả luồng soát vé offline và đồng bộ, chống vé vào hai lần.</t>
        </is>
      </c>
      <c r="F12" s="30" t="inlineStr">
        <is>
          <t>blueprint/design.md — "Offline check-in and sync"; docs/manual-tests/checkin-offline-sync.md</t>
        </is>
      </c>
      <c r="G12" s="50" t="inlineStr">
        <is>
          <t>2026-06-23</t>
        </is>
      </c>
      <c r="H12" s="30" t="inlineStr">
        <is>
          <t>Đọc design.md rồi chạy kịch bản trong docs/manual-tests/checkin-offline-sync.md.</t>
        </is>
      </c>
      <c r="I12" s="30" t="inlineStr">
        <is>
          <t>Đạt</t>
        </is>
      </c>
      <c r="J12" s="31" t="n"/>
      <c r="K12" s="84" t="n"/>
      <c r="L12" s="84" t="n"/>
      <c r="M12" s="84" t="n"/>
      <c r="N12" s="84" t="n"/>
      <c r="O12" s="84" t="n"/>
      <c r="P12" s="84" t="n"/>
      <c r="Q12" s="84" t="n"/>
    </row>
    <row r="13" ht="13.9" customHeight="1">
      <c r="A13" s="29" t="inlineStr">
        <is>
          <t>MC08</t>
        </is>
      </c>
      <c r="B13" s="30" t="inlineStr">
        <is>
          <t>Tài liệu</t>
        </is>
      </c>
      <c r="C13" s="30" t="inlineStr">
        <is>
          <t>BP08</t>
        </is>
      </c>
      <c r="D13" s="30" t="inlineStr">
        <is>
          <t>Nguyễn Lê Thế Vinh</t>
        </is>
      </c>
      <c r="E13" s="30" t="inlineStr">
        <is>
          <t>Đặc tả luồng nhập Guest List CSV: validate, phát hiện trùng, import idempotent.</t>
        </is>
      </c>
      <c r="F13" s="30" t="inlineStr">
        <is>
          <t>blueprint/design.md — "Guest list CSV import"; docs/manual-tests/guest-list-import.md</t>
        </is>
      </c>
      <c r="G13" s="50" t="inlineStr">
        <is>
          <t>2026-06-21</t>
        </is>
      </c>
      <c r="H13" s="30" t="inlineStr">
        <is>
          <t>Đọc design.md rồi chạy kịch bản trong docs/manual-tests/guest-list-import.md.</t>
        </is>
      </c>
      <c r="I13" s="30" t="inlineStr">
        <is>
          <t>Đạt</t>
        </is>
      </c>
      <c r="J13" s="31" t="n"/>
      <c r="K13" s="84" t="n"/>
      <c r="L13" s="84" t="n"/>
      <c r="M13" s="84" t="n"/>
      <c r="N13" s="84" t="n"/>
      <c r="O13" s="84" t="n"/>
      <c r="P13" s="84" t="n"/>
      <c r="Q13" s="84" t="n"/>
    </row>
    <row r="14" ht="13.9" customHeight="1">
      <c r="A14" s="29" t="inlineStr">
        <is>
          <t>MC09</t>
        </is>
      </c>
      <c r="B14" s="30" t="inlineStr">
        <is>
          <t>Tài liệu</t>
        </is>
      </c>
      <c r="C14" s="30" t="inlineStr">
        <is>
          <t>BP09</t>
        </is>
      </c>
      <c r="D14" s="30" t="inlineStr">
        <is>
          <t>Nguyễn Bảo An</t>
        </is>
      </c>
      <c r="E14" s="30" t="inlineStr">
        <is>
          <t>Thiết kế kiểm soát truy cập: 4 role và 5 điểm enforcement.</t>
        </is>
      </c>
      <c r="F14" s="30" t="inlineStr">
        <is>
          <t>blueprint/design.md — "Access Control Design"</t>
        </is>
      </c>
      <c r="G14" s="50" t="inlineStr">
        <is>
          <t>2026-06-13</t>
        </is>
      </c>
      <c r="H14" s="30" t="inlineStr">
        <is>
          <t>Đối chiếu ma trận role với roles.guard.ts và decorator @Roles trong controller.</t>
        </is>
      </c>
      <c r="I14" s="30" t="inlineStr">
        <is>
          <t>Đạt</t>
        </is>
      </c>
      <c r="J14" s="31" t="n"/>
      <c r="K14" s="84" t="n"/>
      <c r="L14" s="84" t="n"/>
      <c r="M14" s="84" t="n"/>
      <c r="N14" s="84" t="n"/>
      <c r="O14" s="84" t="n"/>
      <c r="P14" s="84" t="n"/>
      <c r="Q14" s="84" t="n"/>
    </row>
    <row r="15" ht="13.9" customHeight="1">
      <c r="A15" s="29" t="inlineStr">
        <is>
          <t>MC10</t>
        </is>
      </c>
      <c r="B15" s="30" t="inlineStr">
        <is>
          <t>Tài liệu</t>
        </is>
      </c>
      <c r="C15" s="30" t="inlineStr">
        <is>
          <t>BP10</t>
        </is>
      </c>
      <c r="D15" s="30" t="inlineStr">
        <is>
          <t>Trương Nhật Đạt</t>
        </is>
      </c>
      <c r="E15" s="30" t="inlineStr">
        <is>
          <t>Thiết kế chống tải đột biến: token bucket, ngưỡng và key giới hạn cho 80.000 người/5 phút.</t>
        </is>
      </c>
      <c r="F15" s="30" t="inlineStr">
        <is>
          <t>blueprint/design.md — Decision 7</t>
        </is>
      </c>
      <c r="G15" s="50" t="inlineStr">
        <is>
          <t>2026-06-20</t>
        </is>
      </c>
      <c r="H15" s="30" t="inlineStr">
        <is>
          <t>Đối chiếu Decision 7 với rate-limit-policy.ts (7 policy, ngưỡng cụ thể).</t>
        </is>
      </c>
      <c r="I15" s="30" t="inlineStr">
        <is>
          <t>Đạt</t>
        </is>
      </c>
      <c r="J15" s="31" t="n"/>
      <c r="K15" s="84" t="n"/>
      <c r="L15" s="84" t="n"/>
      <c r="M15" s="84" t="n"/>
      <c r="N15" s="84" t="n"/>
      <c r="O15" s="84" t="n"/>
      <c r="P15" s="84" t="n"/>
      <c r="Q15" s="84" t="n"/>
    </row>
    <row r="16" ht="13.9" customHeight="1">
      <c r="A16" s="29" t="inlineStr">
        <is>
          <t>MC11</t>
        </is>
      </c>
      <c r="B16" s="30" t="inlineStr">
        <is>
          <t>Tài liệu</t>
        </is>
      </c>
      <c r="C16" s="30" t="inlineStr">
        <is>
          <t>BP11</t>
        </is>
      </c>
      <c r="D16" s="30" t="inlineStr">
        <is>
          <t>Trương Nhật Đạt</t>
        </is>
      </c>
      <c r="E16" s="30" t="inlineStr">
        <is>
          <t>Thiết kế Circuit Breaker và Graceful Degradation cho VNPAY/MoMo.</t>
        </is>
      </c>
      <c r="F16" s="30" t="inlineStr">
        <is>
          <t>blueprint/design.md — Decision 5</t>
        </is>
      </c>
      <c r="G16" s="50" t="inlineStr">
        <is>
          <t>2026-06-20</t>
        </is>
      </c>
      <c r="H16" s="30" t="inlineStr">
        <is>
          <t>Đối chiếu Decision 5 với redis-payment-circuit-breaker.ts.</t>
        </is>
      </c>
      <c r="I16" s="30" t="inlineStr">
        <is>
          <t>Đạt</t>
        </is>
      </c>
      <c r="J16" s="31" t="n"/>
      <c r="K16" s="84" t="n"/>
      <c r="L16" s="84" t="n"/>
      <c r="M16" s="84" t="n"/>
      <c r="N16" s="84" t="n"/>
      <c r="O16" s="84" t="n"/>
      <c r="P16" s="84" t="n"/>
      <c r="Q16" s="84" t="n"/>
    </row>
    <row r="17" ht="13.9" customHeight="1">
      <c r="A17" s="29" t="inlineStr">
        <is>
          <t>MC12</t>
        </is>
      </c>
      <c r="B17" s="30" t="inlineStr">
        <is>
          <t>Tài liệu</t>
        </is>
      </c>
      <c r="C17" s="30" t="inlineStr">
        <is>
          <t>BP12</t>
        </is>
      </c>
      <c r="D17" s="30" t="inlineStr">
        <is>
          <t>Trương Nhật Đạt</t>
        </is>
      </c>
      <c r="E17" s="30" t="inlineStr">
        <is>
          <t>Thiết kế Idempotency Key chống trừ tiền hai lần.</t>
        </is>
      </c>
      <c r="F17" s="30" t="inlineStr">
        <is>
          <t>blueprint/design.md — Decision 4</t>
        </is>
      </c>
      <c r="G17" s="50" t="inlineStr">
        <is>
          <t>2026-06-20</t>
        </is>
      </c>
      <c r="H17" s="30" t="inlineStr">
        <is>
          <t>Đối chiếu Decision 4 với redis-payment-idempotency.store.ts.</t>
        </is>
      </c>
      <c r="I17" s="30" t="inlineStr">
        <is>
          <t>Đạt</t>
        </is>
      </c>
      <c r="J17" s="31" t="n"/>
      <c r="K17" s="84" t="n"/>
      <c r="L17" s="84" t="n"/>
      <c r="M17" s="84" t="n"/>
      <c r="N17" s="84" t="n"/>
      <c r="O17" s="84" t="n"/>
      <c r="P17" s="84" t="n"/>
      <c r="Q17" s="84" t="n"/>
    </row>
    <row r="18" ht="13.9" customHeight="1">
      <c r="A18" s="29" t="inlineStr">
        <is>
          <t>MC13</t>
        </is>
      </c>
      <c r="B18" s="30" t="inlineStr">
        <is>
          <t>Tài liệu</t>
        </is>
      </c>
      <c r="C18" s="30" t="inlineStr">
        <is>
          <t>BP13</t>
        </is>
      </c>
      <c r="D18" s="30" t="inlineStr">
        <is>
          <t>Phạm Quang Vinh</t>
        </is>
      </c>
      <c r="E18" s="30" t="inlineStr">
        <is>
          <t>Thiết kế caching: cache-aside, TTL theo loại dữ liệu, invalidation.</t>
        </is>
      </c>
      <c r="F18" s="30" t="inlineStr">
        <is>
          <t>blueprint/design.md — Decision 6</t>
        </is>
      </c>
      <c r="G18" s="50" t="inlineStr">
        <is>
          <t>2026-06-21</t>
        </is>
      </c>
      <c r="H18" s="30" t="inlineStr">
        <is>
          <t>Đối chiếu Decision 6 với thư mục concert-management/application/cache/.</t>
        </is>
      </c>
      <c r="I18" s="30" t="inlineStr">
        <is>
          <t>Đạt</t>
        </is>
      </c>
      <c r="J18" s="31" t="n"/>
      <c r="K18" s="84" t="n"/>
      <c r="L18" s="84" t="n"/>
      <c r="M18" s="84" t="n"/>
      <c r="N18" s="84" t="n"/>
      <c r="O18" s="84" t="n"/>
      <c r="P18" s="84" t="n"/>
      <c r="Q18" s="84" t="n"/>
    </row>
    <row r="19" ht="13.9" customHeight="1">
      <c r="A19" s="29" t="inlineStr">
        <is>
          <t>MC14</t>
        </is>
      </c>
      <c r="B19" s="30" t="inlineStr">
        <is>
          <t>Tài liệu</t>
        </is>
      </c>
      <c r="C19" s="30" t="inlineStr">
        <is>
          <t>BP14</t>
        </is>
      </c>
      <c r="D19" s="30" t="inlineStr">
        <is>
          <t>Nguyễn Bảo An</t>
        </is>
      </c>
      <c r="E19" s="30" t="inlineStr">
        <is>
          <t>12 ADR/Decision cho các quyết định lớn và đánh đổi.</t>
        </is>
      </c>
      <c r="F19" s="30" t="inlineStr">
        <is>
          <t>blueprint/design.md — Decisions 1–12; DECISIONS.md</t>
        </is>
      </c>
      <c r="G19" s="50" t="inlineStr">
        <is>
          <t>2026-06-13</t>
        </is>
      </c>
      <c r="H19" s="30" t="inlineStr">
        <is>
          <t>Mở DECISIONS.md và mục Decisions trong design.md.</t>
        </is>
      </c>
      <c r="I19" s="30" t="inlineStr">
        <is>
          <t>Đạt</t>
        </is>
      </c>
      <c r="J19" s="31" t="n"/>
      <c r="K19" s="84" t="n"/>
      <c r="L19" s="84" t="n"/>
      <c r="M19" s="84" t="n"/>
      <c r="N19" s="84" t="n"/>
      <c r="O19" s="84" t="n"/>
      <c r="P19" s="84" t="n"/>
      <c r="Q19" s="84" t="n"/>
    </row>
    <row r="20" ht="13.9" customHeight="1">
      <c r="A20" s="29" t="inlineStr">
        <is>
          <t>MC15</t>
        </is>
      </c>
      <c r="B20" s="30" t="inlineStr">
        <is>
          <t>Tài liệu</t>
        </is>
      </c>
      <c r="C20" s="30" t="inlineStr">
        <is>
          <t>BP15</t>
        </is>
      </c>
      <c r="D20" s="30" t="inlineStr">
        <is>
          <t>Nguyễn Bảo An</t>
        </is>
      </c>
      <c r="E20" s="30" t="inlineStr">
        <is>
          <t>Cấu trúc spec-driven: proposal.md, design.md, specs/[capability].md; 92 change đã archive.</t>
        </is>
      </c>
      <c r="F20" s="30" t="inlineStr">
        <is>
          <t>blueprint/proposal.md; blueprint/specs/; openspec/changes/archive/</t>
        </is>
      </c>
      <c r="G20" s="50" t="inlineStr">
        <is>
          <t>2026-06-13</t>
        </is>
      </c>
      <c r="H20" s="30" t="inlineStr">
        <is>
          <t>Đếm thư mục openspec/changes/archive/ (92) và mở 1 change bất kỳ xem đủ 4 artifact.</t>
        </is>
      </c>
      <c r="I20" s="30" t="inlineStr">
        <is>
          <t>Đạt</t>
        </is>
      </c>
      <c r="J20" s="31" t="n"/>
      <c r="K20" s="84" t="n"/>
      <c r="L20" s="84" t="n"/>
      <c r="M20" s="84" t="n"/>
      <c r="N20" s="84" t="n"/>
      <c r="O20" s="84" t="n"/>
      <c r="P20" s="84" t="n"/>
      <c r="Q20" s="84" t="n"/>
    </row>
    <row r="21" ht="13.9" customHeight="1">
      <c r="A21" s="29" t="inlineStr">
        <is>
          <t>MC16</t>
        </is>
      </c>
      <c r="B21" s="30" t="inlineStr">
        <is>
          <t>Pull request</t>
        </is>
      </c>
      <c r="C21" s="30" t="inlineStr">
        <is>
          <t>IM06</t>
        </is>
      </c>
      <c r="D21" s="30" t="inlineStr">
        <is>
          <t>Nguyễn Bảo An</t>
        </is>
      </c>
      <c r="E21" s="30" t="inlineStr">
        <is>
          <t>PR #3 — Cài xác thực JWT và RBAC guard ở API.</t>
        </is>
      </c>
      <c r="F21" s="30" t="inlineStr">
        <is>
          <t>PR #3 feature/implement-auth-rbac — github.com/com-ga-xoi-mo/ticketbox-system/pull/3 (commit dec4a83)</t>
        </is>
      </c>
      <c r="G21" s="50" t="inlineStr">
        <is>
          <t>2026-06-15</t>
        </is>
      </c>
      <c r="H21" s="30" t="inlineStr">
        <is>
          <t>Mở PR #3; chạy npx vitest run packages/backend/src/identity/adapters/http/guards/roles.guard.spec.ts.</t>
        </is>
      </c>
      <c r="I21" s="30" t="inlineStr">
        <is>
          <t>Đạt</t>
        </is>
      </c>
      <c r="J21" s="31" t="n"/>
      <c r="K21" s="84" t="n"/>
      <c r="L21" s="84" t="n"/>
      <c r="M21" s="84" t="n"/>
      <c r="N21" s="84" t="n"/>
      <c r="O21" s="84" t="n"/>
      <c r="P21" s="84" t="n"/>
      <c r="Q21" s="84" t="n"/>
    </row>
    <row r="22" ht="13.9" customHeight="1">
      <c r="A22" s="29" t="inlineStr">
        <is>
          <t>MC17</t>
        </is>
      </c>
      <c r="B22" s="30" t="inlineStr">
        <is>
          <t>Pull request</t>
        </is>
      </c>
      <c r="C22" s="30" t="inlineStr">
        <is>
          <t>IM06</t>
        </is>
      </c>
      <c r="D22" s="30" t="inlineStr">
        <is>
          <t>Nguyễn Bảo An</t>
        </is>
      </c>
      <c r="E22" s="30" t="inlineStr">
        <is>
          <t>PR #4 — Quản trị người dùng, gán role và staff assignment.</t>
        </is>
      </c>
      <c r="F22" s="30" t="inlineStr">
        <is>
          <t>PR #4 feature/implement-admin-access-control — github.com/com-ga-xoi-mo/ticketbox-system/pull/4</t>
        </is>
      </c>
      <c r="G22" s="50" t="inlineStr">
        <is>
          <t>2026-06-15</t>
        </is>
      </c>
      <c r="H22" s="30" t="inlineStr">
        <is>
          <t>Mở PR #4; chạy test/auth/admin-users.e2e-spec.ts (cần Docker).</t>
        </is>
      </c>
      <c r="I22" s="30" t="inlineStr">
        <is>
          <t>Đạt</t>
        </is>
      </c>
      <c r="J22" s="31" t="n"/>
      <c r="K22" s="84" t="n"/>
      <c r="L22" s="84" t="n"/>
      <c r="M22" s="84" t="n"/>
      <c r="N22" s="84" t="n"/>
      <c r="O22" s="84" t="n"/>
      <c r="P22" s="84" t="n"/>
      <c r="Q22" s="84" t="n"/>
    </row>
    <row r="23" ht="13.9" customHeight="1">
      <c r="A23" s="29" t="inlineStr">
        <is>
          <t>MC18</t>
        </is>
      </c>
      <c r="B23" s="30" t="inlineStr">
        <is>
          <t>Pull request</t>
        </is>
      </c>
      <c r="C23" s="30" t="inlineStr">
        <is>
          <t>IM17</t>
        </is>
      </c>
      <c r="D23" s="30" t="inlineStr">
        <is>
          <t>Nguyễn Bảo An</t>
        </is>
      </c>
      <c r="E23" s="30" t="inlineStr">
        <is>
          <t>PR #2 — Migration Prisma và seed data (concert, loại vé, sơ đồ, tài khoản demo 4 role).</t>
        </is>
      </c>
      <c r="F23" s="30" t="inlineStr">
        <is>
          <t>PR #2 feature/implement-database-migrations-and-seed — github.com/com-ga-xoi-mo/ticketbox-system/pull/2 (commit c9f04a7)</t>
        </is>
      </c>
      <c r="G23" s="50" t="inlineStr">
        <is>
          <t>2026-06-15</t>
        </is>
      </c>
      <c r="H23" s="30" t="inlineStr">
        <is>
          <t>npm run db:migrate &amp;&amp; npm run db:seed rồi đăng nhập bằng audience@ticketbox.test.</t>
        </is>
      </c>
      <c r="I23" s="30" t="inlineStr">
        <is>
          <t>Đạt</t>
        </is>
      </c>
      <c r="J23" s="31" t="n"/>
      <c r="K23" s="84" t="n"/>
      <c r="L23" s="84" t="n"/>
      <c r="M23" s="84" t="n"/>
      <c r="N23" s="84" t="n"/>
      <c r="O23" s="84" t="n"/>
      <c r="P23" s="84" t="n"/>
      <c r="Q23" s="84" t="n"/>
    </row>
    <row r="24" ht="13.9" customHeight="1">
      <c r="A24" s="29" t="inlineStr">
        <is>
          <t>MC19</t>
        </is>
      </c>
      <c r="B24" s="30" t="inlineStr">
        <is>
          <t>Pull request</t>
        </is>
      </c>
      <c r="C24" s="30" t="inlineStr">
        <is>
          <t>IM18</t>
        </is>
      </c>
      <c r="D24" s="30" t="inlineStr">
        <is>
          <t>Nguyễn Bảo An</t>
        </is>
      </c>
      <c r="E24" s="30" t="inlineStr">
        <is>
          <t>PR #1 — Platform foundation: docker-compose (postgres/redis/maildev), config, health check.</t>
        </is>
      </c>
      <c r="F24" s="30" t="inlineStr">
        <is>
          <t>PR #1 feature/implement-platform-foundation — github.com/com-ga-xoi-mo/ticketbox-system/pull/1</t>
        </is>
      </c>
      <c r="G24" s="50" t="inlineStr">
        <is>
          <t>2026-06-15</t>
        </is>
      </c>
      <c r="H24" s="30" t="inlineStr">
        <is>
          <t>npm run start:deps rồi gọi GET http://localhost:3000/health (trả 200).</t>
        </is>
      </c>
      <c r="I24" s="30" t="inlineStr">
        <is>
          <t>Đạt</t>
        </is>
      </c>
      <c r="J24" s="31" t="n"/>
      <c r="K24" s="84" t="n"/>
      <c r="L24" s="84" t="n"/>
      <c r="M24" s="84" t="n"/>
      <c r="N24" s="84" t="n"/>
      <c r="O24" s="84" t="n"/>
      <c r="P24" s="84" t="n"/>
      <c r="Q24" s="84" t="n"/>
    </row>
    <row r="25" ht="13.9" customHeight="1">
      <c r="A25" s="29" t="inlineStr">
        <is>
          <t>MC20</t>
        </is>
      </c>
      <c r="B25" s="30" t="inlineStr">
        <is>
          <t>Pull request</t>
        </is>
      </c>
      <c r="C25" s="30" t="inlineStr">
        <is>
          <t>IM01</t>
        </is>
      </c>
      <c r="D25" s="30" t="inlineStr">
        <is>
          <t>Nguyễn Bảo An</t>
        </is>
      </c>
      <c r="E25" s="30" t="inlineStr">
        <is>
          <t>PR #30 — Nền tảng audience-web (React/Vite) cho khán giả.</t>
        </is>
      </c>
      <c r="F25" s="30" t="inlineStr">
        <is>
          <t>PR #30 establish-audience-web-foundation — github.com/com-ga-xoi-mo/ticketbox-system/pull/30</t>
        </is>
      </c>
      <c r="G25" s="50" t="inlineStr">
        <is>
          <t>2026-06-24</t>
        </is>
      </c>
      <c r="H25" s="30" t="inlineStr">
        <is>
          <t>npm run dev:audience-web rồi mở http://localhost:5173.</t>
        </is>
      </c>
      <c r="I25" s="30" t="inlineStr">
        <is>
          <t>Đạt</t>
        </is>
      </c>
      <c r="J25" s="31" t="n"/>
      <c r="K25" s="84" t="n"/>
      <c r="L25" s="84" t="n"/>
      <c r="M25" s="84" t="n"/>
      <c r="N25" s="84" t="n"/>
      <c r="O25" s="84" t="n"/>
      <c r="P25" s="84" t="n"/>
      <c r="Q25" s="84" t="n"/>
    </row>
    <row r="26" ht="13.9" customHeight="1">
      <c r="A26" s="29" t="inlineStr">
        <is>
          <t>MC21</t>
        </is>
      </c>
      <c r="B26" s="30" t="inlineStr">
        <is>
          <t>Pull request</t>
        </is>
      </c>
      <c r="C26" s="30" t="inlineStr">
        <is>
          <t>IM01</t>
        </is>
      </c>
      <c r="D26" s="30" t="inlineStr">
        <is>
          <t>Nguyễn Bảo An</t>
        </is>
      </c>
      <c r="E26" s="30" t="inlineStr">
        <is>
          <t>PR #31 — Trang khám phá: danh sách, tìm kiếm, lọc concert, hiển thị vé còn lại.</t>
        </is>
      </c>
      <c r="F26" s="30" t="inlineStr">
        <is>
          <t>PR #31 feature/implement-audience-discovery — github.com/com-ga-xoi-mo/ticketbox-system/pull/31</t>
        </is>
      </c>
      <c r="G26" s="50" t="inlineStr">
        <is>
          <t>2026-06-24</t>
        </is>
      </c>
      <c r="H26" s="30" t="inlineStr">
        <is>
          <t>Mở trang chủ audience-web, tìm kiếm và lọc concert.</t>
        </is>
      </c>
      <c r="I26" s="30" t="inlineStr">
        <is>
          <t>Đạt</t>
        </is>
      </c>
      <c r="J26" s="31" t="n"/>
      <c r="K26" s="84" t="n"/>
      <c r="L26" s="84" t="n"/>
      <c r="M26" s="84" t="n"/>
      <c r="N26" s="84" t="n"/>
      <c r="O26" s="84" t="n"/>
      <c r="P26" s="84" t="n"/>
      <c r="Q26" s="84" t="n"/>
    </row>
    <row r="27" ht="13.9" customHeight="1">
      <c r="A27" s="29" t="inlineStr">
        <is>
          <t>MC22</t>
        </is>
      </c>
      <c r="B27" s="30" t="inlineStr">
        <is>
          <t>Pull request</t>
        </is>
      </c>
      <c r="C27" s="30" t="inlineStr">
        <is>
          <t>IM02</t>
        </is>
      </c>
      <c r="D27" s="30" t="inlineStr">
        <is>
          <t>Nguyễn Bảo An</t>
        </is>
      </c>
      <c r="E27" s="30" t="inlineStr">
        <is>
          <t>PR #38 — Tài khoản khán giả và ví vé: đơn hàng, vé đã mua, tải/gửi lại e-ticket QR.</t>
        </is>
      </c>
      <c r="F27" s="30" t="inlineStr">
        <is>
          <t>PR #38 feature/implement-audience-account-and-tickets — github.com/com-ga-xoi-mo/ticketbox-system/pull/38</t>
        </is>
      </c>
      <c r="G27" s="50" t="inlineStr">
        <is>
          <t>2026-06-24</t>
        </is>
      </c>
      <c r="H27" s="30" t="inlineStr">
        <is>
          <t>Đăng nhập audience, vào mục Vé của tôi, tải QR.</t>
        </is>
      </c>
      <c r="I27" s="30" t="inlineStr">
        <is>
          <t>Đạt</t>
        </is>
      </c>
      <c r="J27" s="31" t="n"/>
      <c r="K27" s="84" t="n"/>
      <c r="L27" s="84" t="n"/>
      <c r="M27" s="84" t="n"/>
      <c r="N27" s="84" t="n"/>
      <c r="O27" s="84" t="n"/>
      <c r="P27" s="84" t="n"/>
      <c r="Q27" s="84" t="n"/>
    </row>
    <row r="28" ht="13.9" customHeight="1">
      <c r="A28" s="29" t="inlineStr">
        <is>
          <t>MC23</t>
        </is>
      </c>
      <c r="B28" s="30" t="inlineStr">
        <is>
          <t>Pull request</t>
        </is>
      </c>
      <c r="C28" s="30" t="inlineStr">
        <is>
          <t>IM01</t>
        </is>
      </c>
      <c r="D28" s="30" t="inlineStr">
        <is>
          <t>Nguyễn Bảo An</t>
        </is>
      </c>
      <c r="E28" s="30" t="inlineStr">
        <is>
          <t>PR #47 — Trang nghệ sĩ và khám phá theo nghệ sĩ.</t>
        </is>
      </c>
      <c r="F28" s="30" t="inlineStr">
        <is>
          <t>PR #47 feature/implement-audience-artist-discovery — github.com/com-ga-xoi-mo/ticketbox-system/pull/47</t>
        </is>
      </c>
      <c r="G28" s="50" t="inlineStr">
        <is>
          <t>2026-06-26</t>
        </is>
      </c>
      <c r="H28" s="30" t="inlineStr">
        <is>
          <t>Mở trang nghệ sĩ trên audience-web.</t>
        </is>
      </c>
      <c r="I28" s="30" t="inlineStr">
        <is>
          <t>Đạt</t>
        </is>
      </c>
      <c r="J28" s="31" t="n"/>
      <c r="K28" s="84" t="n"/>
      <c r="L28" s="84" t="n"/>
      <c r="M28" s="84" t="n"/>
      <c r="N28" s="84" t="n"/>
      <c r="O28" s="84" t="n"/>
      <c r="P28" s="84" t="n"/>
      <c r="Q28" s="84" t="n"/>
    </row>
    <row r="29" ht="13.9" customHeight="1">
      <c r="A29" s="29" t="inlineStr">
        <is>
          <t>MC24</t>
        </is>
      </c>
      <c r="B29" s="30" t="inlineStr">
        <is>
          <t>Tài liệu</t>
        </is>
      </c>
      <c r="C29" s="30" t="inlineStr">
        <is>
          <t>IM16</t>
        </is>
      </c>
      <c r="D29" s="30" t="inlineStr">
        <is>
          <t>Nguyễn Bảo An</t>
        </is>
      </c>
      <c r="E29" s="30" t="inlineStr">
        <is>
          <t>README hướng dẫn clone và chạy: prerequisites, env, lệnh, ports, tài khoản demo, troubleshooting.</t>
        </is>
      </c>
      <c r="F29" s="30" t="inlineStr">
        <is>
          <t>README.md (267 dòng)</t>
        </is>
      </c>
      <c r="G29" s="50" t="inlineStr">
        <is>
          <t>2026-06-15</t>
        </is>
      </c>
      <c r="H29" s="30" t="inlineStr">
        <is>
          <t>Làm theo README trên máy sạch, hệ thống chạy được không cần hỏi thêm.</t>
        </is>
      </c>
      <c r="I29" s="30" t="inlineStr">
        <is>
          <t>Đạt</t>
        </is>
      </c>
      <c r="J29" s="31" t="n"/>
      <c r="K29" s="84" t="n"/>
      <c r="L29" s="84" t="n"/>
      <c r="M29" s="84" t="n"/>
      <c r="N29" s="84" t="n"/>
      <c r="O29" s="84" t="n"/>
      <c r="P29" s="84" t="n"/>
      <c r="Q29" s="84" t="n"/>
    </row>
    <row r="30" ht="13.9" customHeight="1">
      <c r="A30" s="29" t="inlineStr">
        <is>
          <t>MC25</t>
        </is>
      </c>
      <c r="B30" s="30" t="inlineStr">
        <is>
          <t>Source code</t>
        </is>
      </c>
      <c r="C30" s="30" t="inlineStr">
        <is>
          <t>IM06</t>
        </is>
      </c>
      <c r="D30" s="30" t="inlineStr">
        <is>
          <t>Nguyễn Bảo An</t>
        </is>
      </c>
      <c r="E30" s="30" t="inlineStr">
        <is>
          <t>RolesGuard + decorator @Roles: chặn sai quyền tại tầng controller trước khi vào use-case.</t>
        </is>
      </c>
      <c r="F30" s="30" t="inlineStr">
        <is>
          <t>packages/backend/src/identity/adapters/http/guards/roles.guard.ts</t>
        </is>
      </c>
      <c r="G30" s="50" t="inlineStr">
        <is>
          <t>2026-06-15</t>
        </is>
      </c>
      <c r="H30" s="30" t="inlineStr">
        <is>
          <t>Gọi POST /organizer/concerts bằng token CHECKIN_STAFF, nhận 403.</t>
        </is>
      </c>
      <c r="I30" s="30" t="inlineStr">
        <is>
          <t>Đạt</t>
        </is>
      </c>
      <c r="J30" s="31" t="n"/>
      <c r="K30" s="84" t="n"/>
      <c r="L30" s="84" t="n"/>
      <c r="M30" s="84" t="n"/>
      <c r="N30" s="84" t="n"/>
      <c r="O30" s="84" t="n"/>
      <c r="P30" s="84" t="n"/>
      <c r="Q30" s="84" t="n"/>
    </row>
    <row r="31" ht="13.9" customHeight="1">
      <c r="A31" s="29" t="inlineStr">
        <is>
          <t>MC26</t>
        </is>
      </c>
      <c r="B31" s="30" t="inlineStr">
        <is>
          <t>Pull request</t>
        </is>
      </c>
      <c r="C31" s="30" t="inlineStr">
        <is>
          <t>Mở rộng</t>
        </is>
      </c>
      <c r="D31" s="30" t="inlineStr">
        <is>
          <t>Nguyễn Bảo An</t>
        </is>
      </c>
      <c r="E31" s="30" t="inlineStr">
        <is>
          <t>PR #54 — Sàn bán lại vé (resale marketplace) và P2P escrow, ngoài yêu cầu đề.</t>
        </is>
      </c>
      <c r="F31" s="30" t="inlineStr">
        <is>
          <t>PR #54 feature/official-resale-marketplace — github.com/com-ga-xoi-mo/ticketbox-system/pull/54</t>
        </is>
      </c>
      <c r="G31" s="50" t="inlineStr">
        <is>
          <t>2026-07-05</t>
        </is>
      </c>
      <c r="H31" s="30" t="inlineStr">
        <is>
          <t>Mở PR #54; chạy test/resale/resale.e2e-spec.ts.</t>
        </is>
      </c>
      <c r="I31" s="30" t="inlineStr">
        <is>
          <t>Đạt</t>
        </is>
      </c>
      <c r="J31" s="31" t="inlineStr">
        <is>
          <t>Ngoài phạm vi yêu cầu.</t>
        </is>
      </c>
      <c r="K31" s="84" t="n"/>
      <c r="L31" s="84" t="n"/>
      <c r="M31" s="84" t="n"/>
      <c r="N31" s="84" t="n"/>
      <c r="O31" s="84" t="n"/>
      <c r="P31" s="84" t="n"/>
      <c r="Q31" s="84" t="n"/>
    </row>
    <row r="32" ht="13.9" customHeight="1">
      <c r="A32" s="29" t="inlineStr">
        <is>
          <t>MC27</t>
        </is>
      </c>
      <c r="B32" s="30" t="inlineStr">
        <is>
          <t>Commit</t>
        </is>
      </c>
      <c r="C32" s="30" t="inlineStr">
        <is>
          <t>IM11</t>
        </is>
      </c>
      <c r="D32" s="30" t="inlineStr">
        <is>
          <t>Trương Nhật Đạt</t>
        </is>
      </c>
      <c r="E32" s="30" t="inlineStr">
        <is>
          <t>Cài chống oversell: SELECT ... FOR UPDATE khóa dòng ticket_type trong transaction đặt chỗ.</t>
        </is>
      </c>
      <c r="F32" s="30" t="inlineStr">
        <is>
          <t>commit 512d263 — packages/backend/src/ordering/infrastructure/database/prisma-inventory-reservation.repository.ts</t>
        </is>
      </c>
      <c r="G32" s="50" t="inlineStr">
        <is>
          <t>2026-06-18</t>
        </is>
      </c>
      <c r="H32" s="30" t="inlineStr">
        <is>
          <t>git show 512d263; chạy test có case "prevents oversell when concurrent reservations serialize through the ticket type lock".</t>
        </is>
      </c>
      <c r="I32" s="30" t="inlineStr">
        <is>
          <t>Đạt</t>
        </is>
      </c>
      <c r="J32" s="31" t="n"/>
      <c r="K32" s="84" t="n"/>
      <c r="L32" s="84" t="n"/>
      <c r="M32" s="84" t="n"/>
      <c r="N32" s="84" t="n"/>
      <c r="O32" s="84" t="n"/>
      <c r="P32" s="84" t="n"/>
      <c r="Q32" s="84" t="n"/>
    </row>
    <row r="33" ht="13.9" customHeight="1">
      <c r="A33" s="29" t="inlineStr">
        <is>
          <t>MC28</t>
        </is>
      </c>
      <c r="B33" s="30" t="inlineStr">
        <is>
          <t>Test report</t>
        </is>
      </c>
      <c r="C33" s="30" t="inlineStr">
        <is>
          <t>IM11</t>
        </is>
      </c>
      <c r="D33" s="30" t="inlineStr">
        <is>
          <t>Trương Nhật Đạt</t>
        </is>
      </c>
      <c r="E33" s="30" t="inlineStr">
        <is>
          <t>Test chứng minh không oversell khi mua đồng thời vé cuối cùng.</t>
        </is>
      </c>
      <c r="F33" s="30" t="inlineStr">
        <is>
          <t>npx vitest run packages/backend/src/ordering/infrastructure/database/prisma-inventory-reservation.repository.spec.ts</t>
        </is>
      </c>
      <c r="G33" s="50" t="inlineStr">
        <is>
          <t>2026-06-23</t>
        </is>
      </c>
      <c r="H33" s="30" t="inlineStr">
        <is>
          <t>Chạy lệnh trên — 18 test pass, có case chống oversell.</t>
        </is>
      </c>
      <c r="I33" s="30" t="inlineStr">
        <is>
          <t>Đạt</t>
        </is>
      </c>
      <c r="J33" s="31" t="inlineStr">
        <is>
          <t>Đã chạy lại 2026-07-15: pass.</t>
        </is>
      </c>
      <c r="K33" s="84" t="n"/>
      <c r="L33" s="84" t="n"/>
      <c r="M33" s="84" t="n"/>
      <c r="N33" s="84" t="n"/>
      <c r="O33" s="84" t="n"/>
      <c r="P33" s="84" t="n"/>
      <c r="Q33" s="84" t="n"/>
    </row>
    <row r="34" ht="13.9" customHeight="1">
      <c r="A34" s="29" t="inlineStr">
        <is>
          <t>MC29</t>
        </is>
      </c>
      <c r="B34" s="30" t="inlineStr">
        <is>
          <t>Test report</t>
        </is>
      </c>
      <c r="C34" s="30" t="inlineStr">
        <is>
          <t>IM03</t>
        </is>
      </c>
      <c r="D34" s="30" t="inlineStr">
        <is>
          <t>Trương Nhật Đạt</t>
        </is>
      </c>
      <c r="E34" s="30" t="inlineStr">
        <is>
          <t>Test chứng minh giới hạn vé/tài khoản không bị lách khi 2 request đồng thời.</t>
        </is>
      </c>
      <c r="F34" s="30" t="inlineStr">
        <is>
          <t>npx vitest run packages/backend/src/ordering/... repository.spec.ts + create-order.use-case.spec.ts</t>
        </is>
      </c>
      <c r="G34" s="50" t="inlineStr">
        <is>
          <t>2026-06-23</t>
        </is>
      </c>
      <c r="H34" s="30" t="inlineStr">
        <is>
          <t>Chạy 2 file — 29/29 test pass; có case "prevents concurrent same-user reservations from bypassing max per user after the row lock".</t>
        </is>
      </c>
      <c r="I34" s="30" t="inlineStr">
        <is>
          <t>Đạt</t>
        </is>
      </c>
      <c r="J34" s="31" t="inlineStr">
        <is>
          <t>Đã chạy lại 2026-07-15: 29/29 pass.</t>
        </is>
      </c>
      <c r="K34" s="84" t="n"/>
      <c r="L34" s="84" t="n"/>
      <c r="M34" s="84" t="n"/>
      <c r="N34" s="84" t="n"/>
      <c r="O34" s="84" t="n"/>
      <c r="P34" s="84" t="n"/>
      <c r="Q34" s="84" t="n"/>
    </row>
    <row r="35" ht="13.9" customHeight="1">
      <c r="A35" s="29" t="inlineStr">
        <is>
          <t>MC30</t>
        </is>
      </c>
      <c r="B35" s="30" t="inlineStr">
        <is>
          <t>Commit</t>
        </is>
      </c>
      <c r="C35" s="30" t="inlineStr">
        <is>
          <t>IM14</t>
        </is>
      </c>
      <c r="D35" s="30" t="inlineStr">
        <is>
          <t>Trương Nhật Đạt</t>
        </is>
      </c>
      <c r="E35" s="30" t="inlineStr">
        <is>
          <t>Cài Idempotency payment: Redis SET NX + TTL, replay response cũ, phát hiện MISMATCH khi cùng key khác payload.</t>
        </is>
      </c>
      <c r="F35" s="30" t="inlineStr">
        <is>
          <t>commit d3e504b — packages/backend/src/payment/infrastructure/redis/redis-payment-idempotency.store.ts</t>
        </is>
      </c>
      <c r="G35" s="50" t="inlineStr">
        <is>
          <t>2026-06-20</t>
        </is>
      </c>
      <c r="H35" s="30" t="inlineStr">
        <is>
          <t>Chạy redis-payment-idempotency.store.spec.ts; hoặc retry 5 lần cùng Idempotency-Key và xem chỉ 1 giao dịch.</t>
        </is>
      </c>
      <c r="I35" s="30" t="inlineStr">
        <is>
          <t>Đạt</t>
        </is>
      </c>
      <c r="J35" s="31" t="n"/>
      <c r="K35" s="84" t="n"/>
      <c r="L35" s="84" t="n"/>
      <c r="M35" s="84" t="n"/>
      <c r="N35" s="84" t="n"/>
      <c r="O35" s="84" t="n"/>
      <c r="P35" s="84" t="n"/>
      <c r="Q35" s="84" t="n"/>
    </row>
    <row r="36" ht="13.9" customHeight="1">
      <c r="A36" s="29" t="inlineStr">
        <is>
          <t>MC31</t>
        </is>
      </c>
      <c r="B36" s="30" t="inlineStr">
        <is>
          <t>Commit</t>
        </is>
      </c>
      <c r="C36" s="30" t="inlineStr">
        <is>
          <t>IM13</t>
        </is>
      </c>
      <c r="D36" s="30" t="inlineStr">
        <is>
          <t>Trương Nhật Đạt</t>
        </is>
      </c>
      <c r="E36" s="30" t="inlineStr">
        <is>
          <t>Cài Circuit Breaker payment: Lua atomic trên Redis, 3 lỗi → OPEN, cooldown 30s, HALF_OPEN 1 request.</t>
        </is>
      </c>
      <c r="F36" s="30" t="inlineStr">
        <is>
          <t>commit 69b610c — packages/backend/src/payment/infrastructure/redis/redis-payment-circuit-breaker.ts</t>
        </is>
      </c>
      <c r="G36" s="50" t="inlineStr">
        <is>
          <t>2026-06-20</t>
        </is>
      </c>
      <c r="H36" s="30" t="inlineStr">
        <is>
          <t>Chạy redis-payment-circuit-breaker.spec.ts; hoặc ép provider lỗi 3 lần liên tiếp và xem mạch mở.</t>
        </is>
      </c>
      <c r="I36" s="30" t="inlineStr">
        <is>
          <t>Đạt</t>
        </is>
      </c>
      <c r="J36" s="31" t="n"/>
      <c r="K36" s="84" t="n"/>
      <c r="L36" s="84" t="n"/>
      <c r="M36" s="84" t="n"/>
      <c r="N36" s="84" t="n"/>
      <c r="O36" s="84" t="n"/>
      <c r="P36" s="84" t="n"/>
      <c r="Q36" s="84" t="n"/>
    </row>
    <row r="37" ht="13.9" customHeight="1">
      <c r="A37" s="29" t="inlineStr">
        <is>
          <t>MC32</t>
        </is>
      </c>
      <c r="B37" s="30" t="inlineStr">
        <is>
          <t>Commit</t>
        </is>
      </c>
      <c r="C37" s="30" t="inlineStr">
        <is>
          <t>IM12</t>
        </is>
      </c>
      <c r="D37" s="30" t="inlineStr">
        <is>
          <t>Trương Nhật Đạt</t>
        </is>
      </c>
      <c r="E37" s="30" t="inlineStr">
        <is>
          <t>Cài rate limiting: token bucket 7 policy (BROWSING 120/phút, CHECKOUT 5, PAYMENT 3...), key theo user/IP.</t>
        </is>
      </c>
      <c r="F37" s="30" t="inlineStr">
        <is>
          <t>commit 19ead99 — packages/backend/src/platform/rate-limiting/</t>
        </is>
      </c>
      <c r="G37" s="50" t="inlineStr">
        <is>
          <t>2026-06-20</t>
        </is>
      </c>
      <c r="H37" s="30" t="inlineStr">
        <is>
          <t>Chạy rate-limit.interceptor.spec.ts và rate-limit-route-metadata.spec.ts (11 test pass); hoặc gọi checkout 6 lần/phút nhận 429.</t>
        </is>
      </c>
      <c r="I37" s="30" t="inlineStr">
        <is>
          <t>Đạt</t>
        </is>
      </c>
      <c r="J37" s="31" t="n"/>
      <c r="K37" s="84" t="n"/>
      <c r="L37" s="84" t="n"/>
      <c r="M37" s="84" t="n"/>
      <c r="N37" s="84" t="n"/>
      <c r="O37" s="84" t="n"/>
      <c r="P37" s="84" t="n"/>
      <c r="Q37" s="84" t="n"/>
    </row>
    <row r="38" ht="13.9" customHeight="1">
      <c r="A38" s="29" t="inlineStr">
        <is>
          <t>MC33</t>
        </is>
      </c>
      <c r="B38" s="30" t="inlineStr">
        <is>
          <t>Test report</t>
        </is>
      </c>
      <c r="C38" s="30" t="inlineStr">
        <is>
          <t>IM12</t>
        </is>
      </c>
      <c r="D38" s="30" t="inlineStr">
        <is>
          <t>Trương Nhật Đạt</t>
        </is>
      </c>
      <c r="E38" s="30" t="inlineStr">
        <is>
          <t>Test rate limit + circuit breaker + idempotency + cache (nhóm bảo vệ hệ thống).</t>
        </is>
      </c>
      <c r="F38" s="30" t="inlineStr">
        <is>
          <t>npx vitest run packages/backend/src/payment/... + platform/rate-limiting/ + concert-management/.../cache/</t>
        </is>
      </c>
      <c r="G38" s="50" t="inlineStr">
        <is>
          <t>2026-06-27</t>
        </is>
      </c>
      <c r="H38" s="30" t="inlineStr">
        <is>
          <t>Chạy lệnh trong docs/submission-validation.md mục 2.2 — 44/44 test pass.</t>
        </is>
      </c>
      <c r="I38" s="30" t="inlineStr">
        <is>
          <t>Đạt</t>
        </is>
      </c>
      <c r="J38" s="31" t="inlineStr">
        <is>
          <t>Đã chạy lại 2026-07-15: 44/44 pass.</t>
        </is>
      </c>
      <c r="K38" s="84" t="n"/>
      <c r="L38" s="84" t="n"/>
      <c r="M38" s="84" t="n"/>
      <c r="N38" s="84" t="n"/>
      <c r="O38" s="84" t="n"/>
      <c r="P38" s="84" t="n"/>
      <c r="Q38" s="84" t="n"/>
    </row>
    <row r="39" ht="13.9" customHeight="1">
      <c r="A39" s="29" t="inlineStr">
        <is>
          <t>MC34</t>
        </is>
      </c>
      <c r="B39" s="30" t="inlineStr">
        <is>
          <t>Source code</t>
        </is>
      </c>
      <c r="C39" s="30" t="inlineStr">
        <is>
          <t>IM02</t>
        </is>
      </c>
      <c r="D39" s="30" t="inlineStr">
        <is>
          <t>Trương Nhật Đạt</t>
        </is>
      </c>
      <c r="E39" s="30" t="inlineStr">
        <is>
          <t>Vòng đời đơn hàng: PENDING, giữ chỗ có hạn, worker hết hạn tự nhả vé.</t>
        </is>
      </c>
      <c r="F39" s="30" t="inlineStr">
        <is>
          <t>packages/backend/src/ordering/ + expire-reservations.use-case.ts</t>
        </is>
      </c>
      <c r="G39" s="50" t="inlineStr">
        <is>
          <t>2026-06-16</t>
        </is>
      </c>
      <c r="H39" s="30" t="inlineStr">
        <is>
          <t>Tạo đơn rồi chờ hết hạn giữ chỗ, kiểm tra reserved_quantity được trả lại.</t>
        </is>
      </c>
      <c r="I39" s="30" t="inlineStr">
        <is>
          <t>Đạt</t>
        </is>
      </c>
      <c r="J39" s="31" t="n"/>
      <c r="K39" s="84" t="n"/>
      <c r="L39" s="84" t="n"/>
      <c r="M39" s="84" t="n"/>
      <c r="N39" s="84" t="n"/>
      <c r="O39" s="84" t="n"/>
      <c r="P39" s="84" t="n"/>
      <c r="Q39" s="84" t="n"/>
    </row>
    <row r="40" ht="13.9" customHeight="1">
      <c r="A40" s="29" t="inlineStr">
        <is>
          <t>MC35</t>
        </is>
      </c>
      <c r="B40" s="30" t="inlineStr">
        <is>
          <t>Source code</t>
        </is>
      </c>
      <c r="C40" s="30" t="inlineStr">
        <is>
          <t>IM02</t>
        </is>
      </c>
      <c r="D40" s="30" t="inlineStr">
        <is>
          <t>Trương Nhật Đạt</t>
        </is>
      </c>
      <c r="E40" s="30" t="inlineStr">
        <is>
          <t>Tích hợp VNPay, MoMo sandbox và payment simulator; xử lý callback/IPN idempotent.</t>
        </is>
      </c>
      <c r="F40" s="30" t="inlineStr">
        <is>
          <t>packages/backend/src/payment/; docs/paid-order-recovery.md</t>
        </is>
      </c>
      <c r="G40" s="50" t="inlineStr">
        <is>
          <t>2026-06-24</t>
        </is>
      </c>
      <c r="H40" s="30" t="inlineStr">
        <is>
          <t>Mua vé bằng payment simulator; gọi lại callback 2 lần và kiểm tra không trừ tiền hai lần.</t>
        </is>
      </c>
      <c r="I40" s="30" t="inlineStr">
        <is>
          <t>Đạt</t>
        </is>
      </c>
      <c r="J40" s="31" t="n"/>
      <c r="K40" s="84" t="n"/>
      <c r="L40" s="84" t="n"/>
      <c r="M40" s="84" t="n"/>
      <c r="N40" s="84" t="n"/>
      <c r="O40" s="84" t="n"/>
      <c r="P40" s="84" t="n"/>
      <c r="Q40" s="84" t="n"/>
    </row>
    <row r="41" ht="13.9" customHeight="1">
      <c r="A41" s="29" t="inlineStr">
        <is>
          <t>MC36</t>
        </is>
      </c>
      <c r="B41" s="30" t="inlineStr">
        <is>
          <t>Source code</t>
        </is>
      </c>
      <c r="C41" s="30" t="inlineStr">
        <is>
          <t>IM02</t>
        </is>
      </c>
      <c r="D41" s="30" t="inlineStr">
        <is>
          <t>Trương Nhật Đạt</t>
        </is>
      </c>
      <c r="E41" s="30" t="inlineStr">
        <is>
          <t>Phát hành e-ticket QR sau thanh toán và gửi QR qua email.</t>
        </is>
      </c>
      <c r="F41" s="30" t="inlineStr">
        <is>
          <t>packages/backend/src/ordering/.../issue-tickets-for-paid-order.use-case.ts</t>
        </is>
      </c>
      <c r="G41" s="50" t="inlineStr">
        <is>
          <t>2026-06-19</t>
        </is>
      </c>
      <c r="H41" s="30" t="inlineStr">
        <is>
          <t>Mua vé thành công rồi mở Maildev http://localhost:1080 xem email có mã QR.</t>
        </is>
      </c>
      <c r="I41" s="30" t="inlineStr">
        <is>
          <t>Đạt</t>
        </is>
      </c>
      <c r="J41" s="31" t="n"/>
      <c r="K41" s="84" t="n"/>
      <c r="L41" s="84" t="n"/>
      <c r="M41" s="84" t="n"/>
      <c r="N41" s="84" t="n"/>
      <c r="O41" s="84" t="n"/>
      <c r="P41" s="84" t="n"/>
      <c r="Q41" s="84" t="n"/>
    </row>
    <row r="42" ht="13.9" customHeight="1">
      <c r="A42" s="29" t="inlineStr">
        <is>
          <t>MC37</t>
        </is>
      </c>
      <c r="B42" s="30" t="inlineStr">
        <is>
          <t>Source code</t>
        </is>
      </c>
      <c r="C42" s="30" t="inlineStr">
        <is>
          <t>IM02</t>
        </is>
      </c>
      <c r="D42" s="30" t="inlineStr">
        <is>
          <t>Trương Nhật Đạt</t>
        </is>
      </c>
      <c r="E42" s="30" t="inlineStr">
        <is>
          <t>Trang checkout khán giả: chọn vé, đếm ngược giữ chỗ, thanh toán, khôi phục đơn đã trả tiền.</t>
        </is>
      </c>
      <c r="F42" s="30" t="inlineStr">
        <is>
          <t>apps/audience-web/src/features/checkout/</t>
        </is>
      </c>
      <c r="G42" s="50" t="inlineStr">
        <is>
          <t>2026-06-25</t>
        </is>
      </c>
      <c r="H42" s="30" t="inlineStr">
        <is>
          <t>Mua vé end-to-end trên http://localhost:5173.</t>
        </is>
      </c>
      <c r="I42" s="30" t="inlineStr">
        <is>
          <t>Đạt</t>
        </is>
      </c>
      <c r="J42" s="31" t="n"/>
      <c r="K42" s="84" t="n"/>
      <c r="L42" s="84" t="n"/>
      <c r="M42" s="84" t="n"/>
      <c r="N42" s="84" t="n"/>
      <c r="O42" s="84" t="n"/>
      <c r="P42" s="84" t="n"/>
      <c r="Q42" s="84" t="n"/>
    </row>
    <row r="43" ht="13.9" customHeight="1">
      <c r="A43" s="29" t="inlineStr">
        <is>
          <t>MC38</t>
        </is>
      </c>
      <c r="B43" s="30" t="inlineStr">
        <is>
          <t>Pull request</t>
        </is>
      </c>
      <c r="C43" s="30" t="inlineStr">
        <is>
          <t>IM10</t>
        </is>
      </c>
      <c r="D43" s="30" t="inlineStr">
        <is>
          <t>Trương Nhật Đạt</t>
        </is>
      </c>
      <c r="E43" s="30" t="inlineStr">
        <is>
          <t>Giao diện quản trị Guest List (hỗ trợ UI): upload CSV, xem báo cáo import.</t>
        </is>
      </c>
      <c r="F43" s="30" t="inlineStr">
        <is>
          <t>openspec/changes/archive/2026-07-14-integrate-guest-list-ui/; apps/web/src/features/admin/guest-list/</t>
        </is>
      </c>
      <c r="G43" s="50" t="inlineStr">
        <is>
          <t>2026-07-14</t>
        </is>
      </c>
      <c r="H43" s="30" t="inlineStr">
        <is>
          <t>Đăng nhập admin, mở màn Guest List, upload CSV mẫu và xem báo cáo.</t>
        </is>
      </c>
      <c r="I43" s="30" t="inlineStr">
        <is>
          <t>Đạt</t>
        </is>
      </c>
      <c r="J43" s="31" t="inlineStr">
        <is>
          <t>Backend do Thế Vinh làm; Đạt hỗ trợ phần UI.</t>
        </is>
      </c>
      <c r="K43" s="84" t="n"/>
      <c r="L43" s="84" t="n"/>
      <c r="M43" s="84" t="n"/>
      <c r="N43" s="84" t="n"/>
      <c r="O43" s="84" t="n"/>
      <c r="P43" s="84" t="n"/>
      <c r="Q43" s="84" t="n"/>
    </row>
    <row r="44" ht="13.9" customHeight="1">
      <c r="A44" s="29" t="inlineStr">
        <is>
          <t>MC39</t>
        </is>
      </c>
      <c r="B44" s="30" t="inlineStr">
        <is>
          <t>Pull request</t>
        </is>
      </c>
      <c r="C44" s="30" t="inlineStr">
        <is>
          <t>Mở rộng</t>
        </is>
      </c>
      <c r="D44" s="30" t="inlineStr">
        <is>
          <t>Trương Nhật Đạt</t>
        </is>
      </c>
      <c r="E44" s="30" t="inlineStr">
        <is>
          <t>Hệ thống đánh giá/review concert và concert yêu thích, ngoài yêu cầu đề.</t>
        </is>
      </c>
      <c r="F44" s="30" t="inlineStr">
        <is>
          <t>openspec/changes/archive/2026-07-12-implement-concert-reviews/</t>
        </is>
      </c>
      <c r="G44" s="50" t="inlineStr">
        <is>
          <t>2026-07-12</t>
        </is>
      </c>
      <c r="H44" s="30" t="inlineStr">
        <is>
          <t>Mở trang chi tiết concert, viết review.</t>
        </is>
      </c>
      <c r="I44" s="30" t="inlineStr">
        <is>
          <t>Đạt</t>
        </is>
      </c>
      <c r="J44" s="31" t="inlineStr">
        <is>
          <t>Ngoài phạm vi yêu cầu.</t>
        </is>
      </c>
      <c r="K44" s="84" t="n"/>
      <c r="L44" s="84" t="n"/>
      <c r="M44" s="84" t="n"/>
      <c r="N44" s="84" t="n"/>
      <c r="O44" s="84" t="n"/>
      <c r="P44" s="84" t="n"/>
      <c r="Q44" s="84" t="n"/>
    </row>
    <row r="45" ht="13.9" customHeight="1">
      <c r="A45" s="29" t="inlineStr">
        <is>
          <t>MC40</t>
        </is>
      </c>
      <c r="B45" s="30" t="inlineStr">
        <is>
          <t>Pull request</t>
        </is>
      </c>
      <c r="C45" s="30" t="inlineStr">
        <is>
          <t>IM07</t>
        </is>
      </c>
      <c r="D45" s="30" t="inlineStr">
        <is>
          <t>Nguyễn Lê Thế Vinh</t>
        </is>
      </c>
      <c r="E45" s="30" t="inlineStr">
        <is>
          <t>PR #10 — App soát vé React Native: đăng nhập staff, chọn concert/cổng.</t>
        </is>
      </c>
      <c r="F45" s="30" t="inlineStr">
        <is>
          <t>PR #10 feature/implement-checkin-mobile-app — github.com/com-ga-xoi-mo/ticketbox-system/pull/10</t>
        </is>
      </c>
      <c r="G45" s="50" t="inlineStr">
        <is>
          <t>2026-06-16</t>
        </is>
      </c>
      <c r="H45" s="30" t="inlineStr">
        <is>
          <t>npm run dev:checkin-mobile (Expo) rồi đăng nhập staff@ticketbox.test.</t>
        </is>
      </c>
      <c r="I45" s="30" t="inlineStr">
        <is>
          <t>Đạt</t>
        </is>
      </c>
      <c r="J45" s="31" t="n"/>
      <c r="K45" s="84" t="n"/>
      <c r="L45" s="84" t="n"/>
      <c r="M45" s="84" t="n"/>
      <c r="N45" s="84" t="n"/>
      <c r="O45" s="84" t="n"/>
      <c r="P45" s="84" t="n"/>
      <c r="Q45" s="84" t="n"/>
    </row>
    <row r="46" ht="13.9" customHeight="1">
      <c r="A46" s="29" t="inlineStr">
        <is>
          <t>MC41</t>
        </is>
      </c>
      <c r="B46" s="30" t="inlineStr">
        <is>
          <t>Pull request</t>
        </is>
      </c>
      <c r="C46" s="30" t="inlineStr">
        <is>
          <t>IM07</t>
        </is>
      </c>
      <c r="D46" s="30" t="inlineStr">
        <is>
          <t>Nguyễn Lê Thế Vinh</t>
        </is>
      </c>
      <c r="E46" s="30" t="inlineStr">
        <is>
          <t>PR #36 — Quét QR bằng camera thật trên thiết bị.</t>
        </is>
      </c>
      <c r="F46" s="30" t="inlineStr">
        <is>
          <t>PR #36 feature/checkin-camera-qr-scan — github.com/com-ga-xoi-mo/ticketbox-system/pull/36</t>
        </is>
      </c>
      <c r="G46" s="50" t="inlineStr">
        <is>
          <t>2026-06-24</t>
        </is>
      </c>
      <c r="H46" s="30" t="inlineStr">
        <is>
          <t>Mở app trên điện thoại, quét mã QR của vé đã mua.</t>
        </is>
      </c>
      <c r="I46" s="30" t="inlineStr">
        <is>
          <t>Đạt</t>
        </is>
      </c>
      <c r="J46" s="31" t="n"/>
      <c r="K46" s="84" t="n"/>
      <c r="L46" s="84" t="n"/>
      <c r="M46" s="84" t="n"/>
      <c r="N46" s="84" t="n"/>
      <c r="O46" s="84" t="n"/>
      <c r="P46" s="84" t="n"/>
      <c r="Q46" s="84" t="n"/>
    </row>
    <row r="47" ht="13.9" customHeight="1">
      <c r="A47" s="29" t="inlineStr">
        <is>
          <t>MC42</t>
        </is>
      </c>
      <c r="B47" s="30" t="inlineStr">
        <is>
          <t>Pull request</t>
        </is>
      </c>
      <c r="C47" s="30" t="inlineStr">
        <is>
          <t>IM08</t>
        </is>
      </c>
      <c r="D47" s="30" t="inlineStr">
        <is>
          <t>Nguyễn Lê Thế Vinh</t>
        </is>
      </c>
      <c r="E47" s="30" t="inlineStr">
        <is>
          <t>PR #12 — Check-in API: hash QR token, xác thực vé, ghi nhận check-in.</t>
        </is>
      </c>
      <c r="F47" s="30" t="inlineStr">
        <is>
          <t>PR #12 feature/implement-checkin-api — github.com/com-ga-xoi-mo/ticketbox-system/pull/12 (commit da4ddb9)</t>
        </is>
      </c>
      <c r="G47" s="50" t="inlineStr">
        <is>
          <t>2026-06-17</t>
        </is>
      </c>
      <c r="H47" s="30" t="inlineStr">
        <is>
          <t>Chạy test/checkin/checkin.e2e-spec.ts (cần Docker).</t>
        </is>
      </c>
      <c r="I47" s="30" t="inlineStr">
        <is>
          <t>Đạt</t>
        </is>
      </c>
      <c r="J47" s="31" t="n"/>
      <c r="K47" s="84" t="n"/>
      <c r="L47" s="84" t="n"/>
      <c r="M47" s="84" t="n"/>
      <c r="N47" s="84" t="n"/>
      <c r="O47" s="84" t="n"/>
      <c r="P47" s="84" t="n"/>
      <c r="Q47" s="84" t="n"/>
    </row>
    <row r="48" ht="13.9" customHeight="1">
      <c r="A48" s="29" t="inlineStr">
        <is>
          <t>MC43</t>
        </is>
      </c>
      <c r="B48" s="30" t="inlineStr">
        <is>
          <t>Pull request</t>
        </is>
      </c>
      <c r="C48" s="30" t="inlineStr">
        <is>
          <t>IM08</t>
        </is>
      </c>
      <c r="D48" s="30" t="inlineStr">
        <is>
          <t>Nguyễn Lê Thế Vinh</t>
        </is>
      </c>
      <c r="E48" s="30" t="inlineStr">
        <is>
          <t>PR #25 — Soát vé offline: hàng đợi cục bộ, đồng bộ khi có mạng, giải quyết xung đột.</t>
        </is>
      </c>
      <c r="F48" s="30" t="inlineStr">
        <is>
          <t>PR #25 feature/implement-checkin-offline-sync — github.com/com-ga-xoi-mo/ticketbox-system/pull/25</t>
        </is>
      </c>
      <c r="G48" s="50" t="inlineStr">
        <is>
          <t>2026-06-23</t>
        </is>
      </c>
      <c r="H48" s="30" t="inlineStr">
        <is>
          <t>Chạy kịch bản docs/manual-tests/checkin-offline-sync.md: tắt mạng quét 2 máy, bật mạng đồng bộ.</t>
        </is>
      </c>
      <c r="I48" s="30" t="inlineStr">
        <is>
          <t>Đạt</t>
        </is>
      </c>
      <c r="J48" s="31" t="n"/>
      <c r="K48" s="84" t="n"/>
      <c r="L48" s="84" t="n"/>
      <c r="M48" s="84" t="n"/>
      <c r="N48" s="84" t="n"/>
      <c r="O48" s="84" t="n"/>
      <c r="P48" s="84" t="n"/>
      <c r="Q48" s="84" t="n"/>
    </row>
    <row r="49" ht="13.9" customHeight="1">
      <c r="A49" s="29" t="inlineStr">
        <is>
          <t>MC44</t>
        </is>
      </c>
      <c r="B49" s="30" t="inlineStr">
        <is>
          <t>Test report</t>
        </is>
      </c>
      <c r="C49" s="30" t="inlineStr">
        <is>
          <t>IM08</t>
        </is>
      </c>
      <c r="D49" s="30" t="inlineStr">
        <is>
          <t>Nguyễn Lê Thế Vinh</t>
        </is>
      </c>
      <c r="E49" s="30" t="inlineStr">
        <is>
          <t>Test đồng bộ offline không tạo check-in trùng và xử lý xung đột 2 thiết bị.</t>
        </is>
      </c>
      <c r="F49" s="30" t="inlineStr">
        <is>
          <t>npx vitest run packages/backend/src/checkin/application/use-cases/batch-sync.use-case.spec.ts</t>
        </is>
      </c>
      <c r="G49" s="50" t="inlineStr">
        <is>
          <t>2026-06-23</t>
        </is>
      </c>
      <c r="H49" s="30" t="inlineStr">
        <is>
          <t>Chạy lệnh trên; máy khác quét cùng vé trả CONFLICT, cùng máy retry trả DUPLICATE.</t>
        </is>
      </c>
      <c r="I49" s="30" t="inlineStr">
        <is>
          <t>Đạt</t>
        </is>
      </c>
      <c r="J49" s="31" t="inlineStr">
        <is>
          <t>Đã chạy lại 2026-07-15: pass.</t>
        </is>
      </c>
      <c r="K49" s="84" t="n"/>
      <c r="L49" s="84" t="n"/>
      <c r="M49" s="84" t="n"/>
      <c r="N49" s="84" t="n"/>
      <c r="O49" s="84" t="n"/>
      <c r="P49" s="84" t="n"/>
      <c r="Q49" s="84" t="n"/>
    </row>
    <row r="50" ht="13.9" customHeight="1">
      <c r="A50" s="29" t="inlineStr">
        <is>
          <t>MC45</t>
        </is>
      </c>
      <c r="B50" s="30" t="inlineStr">
        <is>
          <t>Pull request</t>
        </is>
      </c>
      <c r="C50" s="30" t="inlineStr">
        <is>
          <t>IM04</t>
        </is>
      </c>
      <c r="D50" s="30" t="inlineStr">
        <is>
          <t>Nguyễn Lê Thế Vinh</t>
        </is>
      </c>
      <c r="E50" s="30" t="inlineStr">
        <is>
          <t>PR #11 — Module notification đa kênh (in-app/email) qua NotificationChannelPort, queue BullMQ.</t>
        </is>
      </c>
      <c r="F50" s="30" t="inlineStr">
        <is>
          <t>PR #11 feature/implement-notification-delivery — github.com/com-ga-xoi-mo/ticketbox-system/pull/11</t>
        </is>
      </c>
      <c r="G50" s="50" t="inlineStr">
        <is>
          <t>2026-06-16</t>
        </is>
      </c>
      <c r="H50" s="30" t="inlineStr">
        <is>
          <t>Mở notification-channel.port.ts; mua vé và xem email trong Maildev.</t>
        </is>
      </c>
      <c r="I50" s="30" t="inlineStr">
        <is>
          <t>Đạt</t>
        </is>
      </c>
      <c r="J50" s="31" t="n"/>
      <c r="K50" s="84" t="n"/>
      <c r="L50" s="84" t="n"/>
      <c r="M50" s="84" t="n"/>
      <c r="N50" s="84" t="n"/>
      <c r="O50" s="84" t="n"/>
      <c r="P50" s="84" t="n"/>
      <c r="Q50" s="84" t="n"/>
    </row>
    <row r="51" ht="13.9" customHeight="1">
      <c r="A51" s="29" t="inlineStr">
        <is>
          <t>MC46</t>
        </is>
      </c>
      <c r="B51" s="30" t="inlineStr">
        <is>
          <t>Pull request</t>
        </is>
      </c>
      <c r="C51" s="30" t="inlineStr">
        <is>
          <t>IM04</t>
        </is>
      </c>
      <c r="D51" s="30" t="inlineStr">
        <is>
          <t>Nguyễn Lê Thế Vinh</t>
        </is>
      </c>
      <c r="E51" s="30" t="inlineStr">
        <is>
          <t>PR #26 — Nhắc lịch trước 24 giờ bằng worker quét định kỳ (idempotent, không gửi trùng).</t>
        </is>
      </c>
      <c r="F51" s="30" t="inlineStr">
        <is>
          <t>PR #26 feature/implement-concert-reminders — github.com/com-ga-xoi-mo/ticketbox-system/pull/26</t>
        </is>
      </c>
      <c r="G51" s="50" t="inlineStr">
        <is>
          <t>2026-06-23</t>
        </is>
      </c>
      <c r="H51" s="30" t="inlineStr">
        <is>
          <t>Chạy kịch bản docs/manual-tests/concert-reminders.md.</t>
        </is>
      </c>
      <c r="I51" s="30" t="inlineStr">
        <is>
          <t>Đạt</t>
        </is>
      </c>
      <c r="J51" s="31" t="n"/>
      <c r="K51" s="84" t="n"/>
      <c r="L51" s="84" t="n"/>
      <c r="M51" s="84" t="n"/>
      <c r="N51" s="84" t="n"/>
      <c r="O51" s="84" t="n"/>
      <c r="P51" s="84" t="n"/>
      <c r="Q51" s="84" t="n"/>
    </row>
    <row r="52" ht="13.9" customHeight="1">
      <c r="A52" s="29" t="inlineStr">
        <is>
          <t>MC47</t>
        </is>
      </c>
      <c r="B52" s="30" t="inlineStr">
        <is>
          <t>Pull request</t>
        </is>
      </c>
      <c r="C52" s="30" t="inlineStr">
        <is>
          <t>IM04</t>
        </is>
      </c>
      <c r="D52" s="30" t="inlineStr">
        <is>
          <t>Nguyễn Lê Thế Vinh</t>
        </is>
      </c>
      <c r="E52" s="30" t="inlineStr">
        <is>
          <t>PR #27 + #50 — Gửi email SMTP thật và thông báo realtime qua SSE.</t>
        </is>
      </c>
      <c r="F52" s="30" t="inlineStr">
        <is>
          <t>PR #27 enable-gmail-smtp-email; PR #50 realtime-notifications-sse</t>
        </is>
      </c>
      <c r="G52" s="50" t="inlineStr">
        <is>
          <t>2026-06-25</t>
        </is>
      </c>
      <c r="H52" s="30" t="inlineStr">
        <is>
          <t>Mua vé và xem thông báo hiện realtime trên web, email vào hộp thư.</t>
        </is>
      </c>
      <c r="I52" s="30" t="inlineStr">
        <is>
          <t>Đạt</t>
        </is>
      </c>
      <c r="J52" s="31" t="n"/>
      <c r="K52" s="84" t="n"/>
      <c r="L52" s="84" t="n"/>
      <c r="M52" s="84" t="n"/>
      <c r="N52" s="84" t="n"/>
      <c r="O52" s="84" t="n"/>
      <c r="P52" s="84" t="n"/>
      <c r="Q52" s="84" t="n"/>
    </row>
    <row r="53" ht="13.9" customHeight="1">
      <c r="A53" s="29" t="inlineStr">
        <is>
          <t>MC48</t>
        </is>
      </c>
      <c r="B53" s="30" t="inlineStr">
        <is>
          <t>Pull request</t>
        </is>
      </c>
      <c r="C53" s="30" t="inlineStr">
        <is>
          <t>IM09</t>
        </is>
      </c>
      <c r="D53" s="30" t="inlineStr">
        <is>
          <t>Nguyễn Lê Thế Vinh</t>
        </is>
      </c>
      <c r="E53" s="30" t="inlineStr">
        <is>
          <t>PR #13 — Pipeline AI Artist Bio: validate PDF, trích text, gọi Gemini, fallback cục bộ, retry backoff.</t>
        </is>
      </c>
      <c r="F53" s="30" t="inlineStr">
        <is>
          <t>PR #13 feature/implement-ai-artist-bio — github.com/com-ga-xoi-mo/ticketbox-system/pull/13 (commit b1bfad5)</t>
        </is>
      </c>
      <c r="G53" s="50" t="inlineStr">
        <is>
          <t>2026-06-18</t>
        </is>
      </c>
      <c r="H53" s="30" t="inlineStr">
        <is>
          <t>Chạy kịch bản docs/manual-tests/ai-artist-bio.md; upload PDF hỏng để xem xử lý lỗi.</t>
        </is>
      </c>
      <c r="I53" s="30" t="inlineStr">
        <is>
          <t>Đạt</t>
        </is>
      </c>
      <c r="J53" s="31" t="n"/>
      <c r="K53" s="84" t="n"/>
      <c r="L53" s="84" t="n"/>
      <c r="M53" s="84" t="n"/>
      <c r="N53" s="84" t="n"/>
      <c r="O53" s="84" t="n"/>
      <c r="P53" s="84" t="n"/>
      <c r="Q53" s="84" t="n"/>
    </row>
    <row r="54" ht="13.9" customHeight="1">
      <c r="A54" s="29" t="inlineStr">
        <is>
          <t>MC49</t>
        </is>
      </c>
      <c r="B54" s="30" t="inlineStr">
        <is>
          <t>Test report</t>
        </is>
      </c>
      <c r="C54" s="30" t="inlineStr">
        <is>
          <t>IM09</t>
        </is>
      </c>
      <c r="D54" s="30" t="inlineStr">
        <is>
          <t>Nguyễn Lê Thế Vinh</t>
        </is>
      </c>
      <c r="E54" s="30" t="inlineStr">
        <is>
          <t>Test pipeline AI bio: validate PDF (chữ ký %PDF-), xử lý lỗi, duyệt/từ chối bio.</t>
        </is>
      </c>
      <c r="F54" s="30" t="inlineStr">
        <is>
          <t>npx vitest run packages/backend/src/ai-artist-bio/</t>
        </is>
      </c>
      <c r="G54" s="50" t="inlineStr">
        <is>
          <t>2026-06-24</t>
        </is>
      </c>
      <c r="H54" s="30" t="inlineStr">
        <is>
          <t>Chạy lệnh trên — toàn bộ test pass.</t>
        </is>
      </c>
      <c r="I54" s="30" t="inlineStr">
        <is>
          <t>Đạt</t>
        </is>
      </c>
      <c r="J54" s="31" t="inlineStr">
        <is>
          <t>Đã chạy lại 2026-07-15: pass.</t>
        </is>
      </c>
      <c r="K54" s="84" t="n"/>
      <c r="L54" s="84" t="n"/>
      <c r="M54" s="84" t="n"/>
      <c r="N54" s="84" t="n"/>
      <c r="O54" s="84" t="n"/>
      <c r="P54" s="84" t="n"/>
      <c r="Q54" s="84" t="n"/>
    </row>
    <row r="55" ht="13.9" customHeight="1">
      <c r="A55" s="29" t="inlineStr">
        <is>
          <t>MC50</t>
        </is>
      </c>
      <c r="B55" s="30" t="inlineStr">
        <is>
          <t>Pull request</t>
        </is>
      </c>
      <c r="C55" s="30" t="inlineStr">
        <is>
          <t>IM10</t>
        </is>
      </c>
      <c r="D55" s="30" t="inlineStr">
        <is>
          <t>Nguyễn Lê Thế Vinh</t>
        </is>
      </c>
      <c r="E55" s="30" t="inlineStr">
        <is>
          <t>PR #20 — Import Guest List CSV: worker quét định kỳ, validate dòng, phát hiện trùng, báo cáo lỗi, idempotent.</t>
        </is>
      </c>
      <c r="F55" s="30" t="inlineStr">
        <is>
          <t>PR #20 implement-guest-list-import — github.com/com-ga-xoi-mo/ticketbox-system/pull/20 (commit c19eee3)</t>
        </is>
      </c>
      <c r="G55" s="50" t="inlineStr">
        <is>
          <t>2026-06-21</t>
        </is>
      </c>
      <c r="H55" s="30" t="inlineStr">
        <is>
          <t>Chạy test/guest-list/guest-list.e2e-spec.ts; nhập lại cùng file và xem không tạo khách trùng.</t>
        </is>
      </c>
      <c r="I55" s="30" t="inlineStr">
        <is>
          <t>Đạt</t>
        </is>
      </c>
      <c r="J55" s="31" t="n"/>
      <c r="K55" s="84" t="n"/>
      <c r="L55" s="84" t="n"/>
      <c r="M55" s="84" t="n"/>
      <c r="N55" s="84" t="n"/>
      <c r="O55" s="84" t="n"/>
      <c r="P55" s="84" t="n"/>
      <c r="Q55" s="84" t="n"/>
    </row>
    <row r="56" ht="13.9" customHeight="1">
      <c r="A56" s="29" t="inlineStr">
        <is>
          <t>MC51</t>
        </is>
      </c>
      <c r="B56" s="30" t="inlineStr">
        <is>
          <t>Source code</t>
        </is>
      </c>
      <c r="C56" s="30" t="inlineStr">
        <is>
          <t>IM10</t>
        </is>
      </c>
      <c r="D56" s="30" t="inlineStr">
        <is>
          <t>Nguyễn Lê Thế Vinh</t>
        </is>
      </c>
      <c r="E56" s="30" t="inlineStr">
        <is>
          <t>Chống trùng 2 mức: checksum sha256 toàn file và khóa định danh email đã chuẩn hóa theo dòng.</t>
        </is>
      </c>
      <c r="F56" s="30" t="inlineStr">
        <is>
          <t>packages/backend/src/guest-list-import/ — claim-guest-list-import.use-case.ts, domain/normalization.ts</t>
        </is>
      </c>
      <c r="G56" s="50" t="inlineStr">
        <is>
          <t>2026-06-21</t>
        </is>
      </c>
      <c r="H56" s="30" t="inlineStr">
        <is>
          <t>Upload cùng một file CSV hai lần; batch thứ hai bị nhận diện trùng checksum.</t>
        </is>
      </c>
      <c r="I56" s="30" t="inlineStr">
        <is>
          <t>Đạt</t>
        </is>
      </c>
      <c r="J56" s="31" t="n"/>
      <c r="K56" s="84" t="n"/>
      <c r="L56" s="84" t="n"/>
      <c r="M56" s="84" t="n"/>
      <c r="N56" s="84" t="n"/>
      <c r="O56" s="84" t="n"/>
      <c r="P56" s="84" t="n"/>
      <c r="Q56" s="84" t="n"/>
    </row>
    <row r="57" ht="13.9" customHeight="1">
      <c r="A57" s="29" t="inlineStr">
        <is>
          <t>MC52</t>
        </is>
      </c>
      <c r="B57" s="30" t="inlineStr">
        <is>
          <t>Pull request</t>
        </is>
      </c>
      <c r="C57" s="30" t="inlineStr">
        <is>
          <t>IM01</t>
        </is>
      </c>
      <c r="D57" s="30" t="inlineStr">
        <is>
          <t>Nguyễn Lê Thế Vinh</t>
        </is>
      </c>
      <c r="E57" s="30" t="inlineStr">
        <is>
          <t>PR #16 — Package @ticketbox/api-types: contract Zod dùng chung backend/web/mobile.</t>
        </is>
      </c>
      <c r="F57" s="30" t="inlineStr">
        <is>
          <t>PR #16 establish-shared-api-types — github.com/com-ga-xoi-mo/ticketbox-system/pull/16</t>
        </is>
      </c>
      <c r="G57" s="50" t="inlineStr">
        <is>
          <t>2026-06-20</t>
        </is>
      </c>
      <c r="H57" s="30" t="inlineStr">
        <is>
          <t>Mở packages/api-types/; kiểm tra client parse response bằng đúng schema backend.</t>
        </is>
      </c>
      <c r="I57" s="30" t="inlineStr">
        <is>
          <t>Đạt</t>
        </is>
      </c>
      <c r="J57" s="31" t="n"/>
      <c r="K57" s="84" t="n"/>
      <c r="L57" s="84" t="n"/>
      <c r="M57" s="84" t="n"/>
      <c r="N57" s="84" t="n"/>
      <c r="O57" s="84" t="n"/>
      <c r="P57" s="84" t="n"/>
      <c r="Q57" s="84" t="n"/>
    </row>
    <row r="58" ht="13.9" customHeight="1">
      <c r="A58" s="29" t="inlineStr">
        <is>
          <t>MC53</t>
        </is>
      </c>
      <c r="B58" s="30" t="inlineStr">
        <is>
          <t>Tài liệu</t>
        </is>
      </c>
      <c r="C58" s="30" t="inlineStr">
        <is>
          <t>IM18</t>
        </is>
      </c>
      <c r="D58" s="30" t="inlineStr">
        <is>
          <t>Nguyễn Lê Thế Vinh</t>
        </is>
      </c>
      <c r="E58" s="30" t="inlineStr">
        <is>
          <t>12 tài liệu kịch bản kiểm thử tay cho các luồng khó (offline sync, CSV, AI bio, reminders, lottery...).</t>
        </is>
      </c>
      <c r="F58" s="30" t="inlineStr">
        <is>
          <t>docs/manual-tests/</t>
        </is>
      </c>
      <c r="G58" s="50" t="inlineStr">
        <is>
          <t>2026-07-14</t>
        </is>
      </c>
      <c r="H58" s="30" t="inlineStr">
        <is>
          <t>Mở thư mục docs/manual-tests/ và làm theo từng kịch bản.</t>
        </is>
      </c>
      <c r="I58" s="30" t="inlineStr">
        <is>
          <t>Đạt</t>
        </is>
      </c>
      <c r="J58" s="31" t="n"/>
      <c r="K58" s="84" t="n"/>
      <c r="L58" s="84" t="n"/>
      <c r="M58" s="84" t="n"/>
      <c r="N58" s="84" t="n"/>
      <c r="O58" s="84" t="n"/>
      <c r="P58" s="84" t="n"/>
      <c r="Q58" s="84" t="n"/>
    </row>
    <row r="59" ht="13.9" customHeight="1">
      <c r="A59" s="29" t="inlineStr">
        <is>
          <t>MC54</t>
        </is>
      </c>
      <c r="B59" s="30" t="inlineStr">
        <is>
          <t>Pull request</t>
        </is>
      </c>
      <c r="C59" s="30" t="inlineStr">
        <is>
          <t>Mở rộng</t>
        </is>
      </c>
      <c r="D59" s="30" t="inlineStr">
        <is>
          <t>Nguyễn Lê Thế Vinh</t>
        </is>
      </c>
      <c r="E59" s="30" t="inlineStr">
        <is>
          <t>Official Waitlist, Presale Lottery và Virtual Waiting Room, ngoài yêu cầu đề.</t>
        </is>
      </c>
      <c r="F59" s="30" t="inlineStr">
        <is>
          <t>PR #56 add-official-waitlist; PR #58 add-virtual-waiting-room; PR #60 refactor-waitlist-and-lottery</t>
        </is>
      </c>
      <c r="G59" s="50" t="inlineStr">
        <is>
          <t>2026-07-14</t>
        </is>
      </c>
      <c r="H59" s="30" t="inlineStr">
        <is>
          <t>Chạy kịch bản docs/manual-tests/presale-lottery.md và virtual-waiting-room.md.</t>
        </is>
      </c>
      <c r="I59" s="30" t="inlineStr">
        <is>
          <t>Đạt</t>
        </is>
      </c>
      <c r="J59" s="31" t="inlineStr">
        <is>
          <t>Ngoài phạm vi yêu cầu.</t>
        </is>
      </c>
      <c r="K59" s="84" t="n"/>
      <c r="L59" s="84" t="n"/>
      <c r="M59" s="84" t="n"/>
      <c r="N59" s="84" t="n"/>
      <c r="O59" s="84" t="n"/>
      <c r="P59" s="84" t="n"/>
      <c r="Q59" s="84" t="n"/>
    </row>
    <row r="60" ht="13.9" customHeight="1">
      <c r="A60" s="29" t="inlineStr">
        <is>
          <t>MC55</t>
        </is>
      </c>
      <c r="B60" s="30" t="inlineStr">
        <is>
          <t>Pull request</t>
        </is>
      </c>
      <c r="C60" s="30" t="inlineStr">
        <is>
          <t>IM01</t>
        </is>
      </c>
      <c r="D60" s="30" t="inlineStr">
        <is>
          <t>Phạm Quang Vinh</t>
        </is>
      </c>
      <c r="E60" s="30" t="inlineStr">
        <is>
          <t>PR #5 — Concert catalog backend: API danh sách/chi tiết concert, nghệ sĩ, địa điểm, vé còn lại.</t>
        </is>
      </c>
      <c r="F60" s="30" t="inlineStr">
        <is>
          <t>PR #5 implement-concert-catalog — github.com/com-ga-xoi-mo/ticketbox-system/pull/5</t>
        </is>
      </c>
      <c r="G60" s="50" t="inlineStr">
        <is>
          <t>2026-06-16</t>
        </is>
      </c>
      <c r="H60" s="30" t="inlineStr">
        <is>
          <t>Chạy test/concert-catalog/concert-catalog.e2e-spec.ts; gọi GET /concerts.</t>
        </is>
      </c>
      <c r="I60" s="30" t="inlineStr">
        <is>
          <t>Đạt</t>
        </is>
      </c>
      <c r="J60" s="31" t="n"/>
      <c r="K60" s="84" t="n"/>
      <c r="L60" s="84" t="n"/>
      <c r="M60" s="84" t="n"/>
      <c r="N60" s="84" t="n"/>
      <c r="O60" s="84" t="n"/>
      <c r="P60" s="84" t="n"/>
      <c r="Q60" s="84" t="n"/>
    </row>
    <row r="61" ht="13.9" customHeight="1">
      <c r="A61" s="29" t="inlineStr">
        <is>
          <t>MC56</t>
        </is>
      </c>
      <c r="B61" s="30" t="inlineStr">
        <is>
          <t>Pull request</t>
        </is>
      </c>
      <c r="C61" s="30" t="inlineStr">
        <is>
          <t>IM05</t>
        </is>
      </c>
      <c r="D61" s="30" t="inlineStr">
        <is>
          <t>Phạm Quang Vinh</t>
        </is>
      </c>
      <c r="E61" s="30" t="inlineStr">
        <is>
          <t>PR #6 — Quản trị concert cho BTC: tạo/sửa/hủy concert, cấu hình loại vé và giá.</t>
        </is>
      </c>
      <c r="F61" s="30" t="inlineStr">
        <is>
          <t>PR #6 feature/concert-admin-management — github.com/com-ga-xoi-mo/ticketbox-system/pull/6</t>
        </is>
      </c>
      <c r="G61" s="50" t="inlineStr">
        <is>
          <t>2026-06-16</t>
        </is>
      </c>
      <c r="H61" s="30" t="inlineStr">
        <is>
          <t>Đăng nhập organizer@ticketbox.test, tạo concert mới trên apps/web.</t>
        </is>
      </c>
      <c r="I61" s="30" t="inlineStr">
        <is>
          <t>Đạt</t>
        </is>
      </c>
      <c r="J61" s="31" t="n"/>
      <c r="K61" s="84" t="n"/>
      <c r="L61" s="84" t="n"/>
      <c r="M61" s="84" t="n"/>
      <c r="N61" s="84" t="n"/>
      <c r="O61" s="84" t="n"/>
      <c r="P61" s="84" t="n"/>
      <c r="Q61" s="84" t="n"/>
    </row>
    <row r="62" ht="13.9" customHeight="1">
      <c r="A62" s="29" t="inlineStr">
        <is>
          <t>MC57</t>
        </is>
      </c>
      <c r="B62" s="30" t="inlineStr">
        <is>
          <t>Pull request</t>
        </is>
      </c>
      <c r="C62" s="30" t="inlineStr">
        <is>
          <t>IM05</t>
        </is>
      </c>
      <c r="D62" s="30" t="inlineStr">
        <is>
          <t>Phạm Quang Vinh</t>
        </is>
      </c>
      <c r="E62" s="30" t="inlineStr">
        <is>
          <t>PR #17 — Web portal: đăng nhập và dashboard BTC (doanh thu, lượng bán).</t>
        </is>
      </c>
      <c r="F62" s="30" t="inlineStr">
        <is>
          <t>PR #17 feature/implement-web-portal — github.com/com-ga-xoi-mo/ticketbox-system/pull/17</t>
        </is>
      </c>
      <c r="G62" s="50" t="inlineStr">
        <is>
          <t>2026-06-20</t>
        </is>
      </c>
      <c r="H62" s="30" t="inlineStr">
        <is>
          <t>npm run dev:web rồi đăng nhập organizer và xem dashboard doanh thu.</t>
        </is>
      </c>
      <c r="I62" s="30" t="inlineStr">
        <is>
          <t>Đạt</t>
        </is>
      </c>
      <c r="J62" s="31" t="n"/>
      <c r="K62" s="84" t="n"/>
      <c r="L62" s="84" t="n"/>
      <c r="M62" s="84" t="n"/>
      <c r="N62" s="84" t="n"/>
      <c r="O62" s="84" t="n"/>
      <c r="P62" s="84" t="n"/>
      <c r="Q62" s="84" t="n"/>
    </row>
    <row r="63" ht="13.9" customHeight="1">
      <c r="A63" s="29" t="inlineStr">
        <is>
          <t>MC58</t>
        </is>
      </c>
      <c r="B63" s="30" t="inlineStr">
        <is>
          <t>Commit</t>
        </is>
      </c>
      <c r="C63" s="30" t="inlineStr">
        <is>
          <t>IM15</t>
        </is>
      </c>
      <c r="D63" s="30" t="inlineStr">
        <is>
          <t>Phạm Quang Vinh</t>
        </is>
      </c>
      <c r="E63" s="30" t="inlineStr">
        <is>
          <t>Cài caching Redis cache-aside: availability TTL 5s, detail TTL 300s, invalidate theo prefix khi ghi.</t>
        </is>
      </c>
      <c r="F63" s="30" t="inlineStr">
        <is>
          <t>commit 4160a4c — packages/backend/src/concert-management/application/cache/</t>
        </is>
      </c>
      <c r="G63" s="50" t="inlineStr">
        <is>
          <t>2026-06-21</t>
        </is>
      </c>
      <c r="H63" s="30" t="inlineStr">
        <is>
          <t>Chạy concert-cache-decorators tests; sửa concert rồi kiểm tra cache bị xóa.</t>
        </is>
      </c>
      <c r="I63" s="30" t="inlineStr">
        <is>
          <t>Đạt</t>
        </is>
      </c>
      <c r="J63" s="31" t="n"/>
      <c r="K63" s="84" t="n"/>
      <c r="L63" s="84" t="n"/>
      <c r="M63" s="84" t="n"/>
      <c r="N63" s="84" t="n"/>
      <c r="O63" s="84" t="n"/>
      <c r="P63" s="84" t="n"/>
      <c r="Q63" s="84" t="n"/>
    </row>
    <row r="64" ht="13.9" customHeight="1">
      <c r="A64" s="29" t="inlineStr">
        <is>
          <t>MC59</t>
        </is>
      </c>
      <c r="B64" s="30" t="inlineStr">
        <is>
          <t>Pull request</t>
        </is>
      </c>
      <c r="C64" s="30" t="inlineStr">
        <is>
          <t>IM01</t>
        </is>
      </c>
      <c r="D64" s="30" t="inlineStr">
        <is>
          <t>Phạm Quang Vinh</t>
        </is>
      </c>
      <c r="E64" s="30" t="inlineStr">
        <is>
          <t>PR #15 — Sơ đồ chỗ ngồi SVG theo khu: upload seating map, ánh xạ khu với loại vé.</t>
        </is>
      </c>
      <c r="F64" s="30" t="inlineStr">
        <is>
          <t>PR #15 feature/implement-seating-map-assets — github.com/com-ga-xoi-mo/ticketbox-system/pull/15</t>
        </is>
      </c>
      <c r="G64" s="50" t="inlineStr">
        <is>
          <t>2026-06-19</t>
        </is>
      </c>
      <c r="H64" s="30" t="inlineStr">
        <is>
          <t>Mở trang chi tiết concert, xem sơ đồ khu SVG và chọn khu.</t>
        </is>
      </c>
      <c r="I64" s="30" t="inlineStr">
        <is>
          <t>Đạt</t>
        </is>
      </c>
      <c r="J64" s="31" t="n"/>
      <c r="K64" s="84" t="n"/>
      <c r="L64" s="84" t="n"/>
      <c r="M64" s="84" t="n"/>
      <c r="N64" s="84" t="n"/>
      <c r="O64" s="84" t="n"/>
      <c r="P64" s="84" t="n"/>
      <c r="Q64" s="84" t="n"/>
    </row>
    <row r="65" ht="13.9" customHeight="1">
      <c r="A65" s="29" t="inlineStr">
        <is>
          <t>MC60</t>
        </is>
      </c>
      <c r="B65" s="30" t="inlineStr">
        <is>
          <t>Pull request</t>
        </is>
      </c>
      <c r="C65" s="30" t="inlineStr">
        <is>
          <t>IM05</t>
        </is>
      </c>
      <c r="D65" s="30" t="inlineStr">
        <is>
          <t>Phạm Quang Vinh</t>
        </is>
      </c>
      <c r="E65" s="30" t="inlineStr">
        <is>
          <t>PR #18 — Cloud object storage và upload poster/asset concert.</t>
        </is>
      </c>
      <c r="F65" s="30" t="inlineStr">
        <is>
          <t>PR #18 feature/concert-assets — github.com/com-ga-xoi-mo/ticketbox-system/pull/18</t>
        </is>
      </c>
      <c r="G65" s="50" t="inlineStr">
        <is>
          <t>2026-06-20</t>
        </is>
      </c>
      <c r="H65" s="30" t="inlineStr">
        <is>
          <t>Upload poster cho concert trên trang admin và xem ảnh hiển thị.</t>
        </is>
      </c>
      <c r="I65" s="30" t="inlineStr">
        <is>
          <t>Đạt</t>
        </is>
      </c>
      <c r="J65" s="31" t="n"/>
      <c r="K65" s="84" t="n"/>
      <c r="L65" s="84" t="n"/>
      <c r="M65" s="84" t="n"/>
      <c r="N65" s="84" t="n"/>
      <c r="O65" s="84" t="n"/>
      <c r="P65" s="84" t="n"/>
      <c r="Q65" s="84" t="n"/>
    </row>
    <row r="66" ht="13.9" customHeight="1">
      <c r="A66" s="29" t="inlineStr">
        <is>
          <t>MC61</t>
        </is>
      </c>
      <c r="B66" s="30" t="inlineStr">
        <is>
          <t>Pull request</t>
        </is>
      </c>
      <c r="C66" s="30" t="inlineStr">
        <is>
          <t>IM05</t>
        </is>
      </c>
      <c r="D66" s="30" t="inlineStr">
        <is>
          <t>Phạm Quang Vinh</t>
        </is>
      </c>
      <c r="E66" s="30" t="inlineStr">
        <is>
          <t>PR #33 — Trình sửa sơ đồ khu, ánh xạ loại vé và các tính năng cho BTC.</t>
        </is>
      </c>
      <c r="F66" s="30" t="inlineStr">
        <is>
          <t>PR #33 feature/venue-map-and-organizer-features — github.com/com-ga-xoi-mo/ticketbox-system/pull/33</t>
        </is>
      </c>
      <c r="G66" s="50" t="inlineStr">
        <is>
          <t>2026-06-24</t>
        </is>
      </c>
      <c r="H66" s="30" t="inlineStr">
        <is>
          <t>Mở trình sửa venue map trên trang organizer.</t>
        </is>
      </c>
      <c r="I66" s="30" t="inlineStr">
        <is>
          <t>Đạt</t>
        </is>
      </c>
      <c r="J66" s="31" t="n"/>
      <c r="K66" s="84" t="n"/>
      <c r="L66" s="84" t="n"/>
      <c r="M66" s="84" t="n"/>
      <c r="N66" s="84" t="n"/>
      <c r="O66" s="84" t="n"/>
      <c r="P66" s="84" t="n"/>
      <c r="Q66" s="84" t="n"/>
    </row>
    <row r="67" ht="13.9" customHeight="1">
      <c r="A67" s="29" t="inlineStr">
        <is>
          <t>MC62</t>
        </is>
      </c>
      <c r="B67" s="30" t="inlineStr">
        <is>
          <t>Pull request</t>
        </is>
      </c>
      <c r="C67" s="30" t="inlineStr">
        <is>
          <t>IM06</t>
        </is>
      </c>
      <c r="D67" s="30" t="inlineStr">
        <is>
          <t>Phạm Quang Vinh</t>
        </is>
      </c>
      <c r="E67" s="30" t="inlineStr">
        <is>
          <t>PR #46 — Tạo hàng loạt tài khoản staff soát vé và xuất PDF thông tin đăng nhập có mật khẩu.</t>
        </is>
      </c>
      <c r="F67" s="30" t="inlineStr">
        <is>
          <t>PR #46 feature/bulk-checkin-staff-provisioning — github.com/com-ga-xoi-mo/ticketbox-system/pull/46</t>
        </is>
      </c>
      <c r="G67" s="50" t="inlineStr">
        <is>
          <t>2026-06-25</t>
        </is>
      </c>
      <c r="H67" s="30" t="inlineStr">
        <is>
          <t>Trang admin, tạo hàng loạt staff và tải PDF (cần nhập mật khẩu để mở).</t>
        </is>
      </c>
      <c r="I67" s="30" t="inlineStr">
        <is>
          <t>Đạt</t>
        </is>
      </c>
      <c r="J67" s="31" t="n"/>
      <c r="K67" s="84" t="n"/>
      <c r="L67" s="84" t="n"/>
      <c r="M67" s="84" t="n"/>
      <c r="N67" s="84" t="n"/>
      <c r="O67" s="84" t="n"/>
      <c r="P67" s="84" t="n"/>
      <c r="Q67" s="84" t="n"/>
    </row>
    <row r="68" ht="13.9" customHeight="1">
      <c r="A68" s="29" t="inlineStr">
        <is>
          <t>MC63</t>
        </is>
      </c>
      <c r="B68" s="30" t="inlineStr">
        <is>
          <t>Source code</t>
        </is>
      </c>
      <c r="C68" s="30" t="inlineStr">
        <is>
          <t>IM09</t>
        </is>
      </c>
      <c r="D68" s="30" t="inlineStr">
        <is>
          <t>Phạm Quang Vinh</t>
        </is>
      </c>
      <c r="E68" s="30" t="inlineStr">
        <is>
          <t>Giao diện quản lý AI Artist Bio (hỗ trợ UI): upload PDF, poll trạng thái, duyệt/từ chối bio.</t>
        </is>
      </c>
      <c r="F68" s="30" t="inlineStr">
        <is>
          <t>apps/web/src/features/artist-bio/ArtistBioPanel.tsx</t>
        </is>
      </c>
      <c r="G68" s="50" t="inlineStr">
        <is>
          <t>2026-07-14</t>
        </is>
      </c>
      <c r="H68" s="30" t="inlineStr">
        <is>
          <t>Đăng nhập admin, mở panel Artist Bio, upload PDF và duyệt bản nháp.</t>
        </is>
      </c>
      <c r="I68" s="30" t="inlineStr">
        <is>
          <t>Đạt</t>
        </is>
      </c>
      <c r="J68" s="31" t="inlineStr">
        <is>
          <t>Backend do Thế Vinh làm; Quang Vinh hỗ trợ phần UI.</t>
        </is>
      </c>
      <c r="K68" s="84" t="n"/>
      <c r="L68" s="84" t="n"/>
      <c r="M68" s="84" t="n"/>
      <c r="N68" s="84" t="n"/>
      <c r="O68" s="84" t="n"/>
      <c r="P68" s="84" t="n"/>
      <c r="Q68" s="84" t="n"/>
    </row>
    <row r="69" ht="13.9" customHeight="1">
      <c r="A69" s="29" t="inlineStr">
        <is>
          <t>MC64</t>
        </is>
      </c>
      <c r="B69" s="30" t="inlineStr">
        <is>
          <t>Pull request</t>
        </is>
      </c>
      <c r="C69" s="30" t="inlineStr">
        <is>
          <t>IM05</t>
        </is>
      </c>
      <c r="D69" s="30" t="inlineStr">
        <is>
          <t>Phạm Quang Vinh</t>
        </is>
      </c>
      <c r="E69" s="30" t="inlineStr">
        <is>
          <t>PR #52 — Quản lý địa điểm concert và đăng nhập Google cho khán giả.</t>
        </is>
      </c>
      <c r="F69" s="30" t="inlineStr">
        <is>
          <t>PR #52 feature/marketplace-location-and-google-sign-in — github.com/com-ga-xoi-mo/ticketbox-system/pull/52</t>
        </is>
      </c>
      <c r="G69" s="50" t="inlineStr">
        <is>
          <t>2026-07-05</t>
        </is>
      </c>
      <c r="H69" s="30" t="inlineStr">
        <is>
          <t>Đăng nhập bằng Google trên audience-web; xem bản đồ địa điểm concert.</t>
        </is>
      </c>
      <c r="I69" s="30" t="inlineStr">
        <is>
          <t>Đạt</t>
        </is>
      </c>
      <c r="J69" s="31" t="n"/>
      <c r="K69" s="84" t="n"/>
      <c r="L69" s="84" t="n"/>
      <c r="M69" s="84" t="n"/>
      <c r="N69" s="84" t="n"/>
      <c r="O69" s="84" t="n"/>
      <c r="P69" s="84" t="n"/>
      <c r="Q69" s="84" t="n"/>
    </row>
    <row r="70" ht="13.9" customHeight="1">
      <c r="A70" s="29" t="inlineStr">
        <is>
          <t>MC65</t>
        </is>
      </c>
      <c r="B70" s="30" t="inlineStr">
        <is>
          <t>Test report</t>
        </is>
      </c>
      <c r="C70" s="30" t="inlineStr">
        <is>
          <t>IM15</t>
        </is>
      </c>
      <c r="D70" s="30" t="inlineStr">
        <is>
          <t>Phạm Quang Vinh</t>
        </is>
      </c>
      <c r="E70" s="30" t="inlineStr">
        <is>
          <t>Test UI web: ArtistBioPanel và Admin Guest List.</t>
        </is>
      </c>
      <c r="F70" s="30" t="inlineStr">
        <is>
          <t>npx vitest run --root apps/web apps/web/src/features/artist-bio apps/web/src/features/admin/guest-list</t>
        </is>
      </c>
      <c r="G70" s="50" t="inlineStr">
        <is>
          <t>2026-07-15</t>
        </is>
      </c>
      <c r="H70" s="30" t="inlineStr">
        <is>
          <t>Chạy lệnh trên — 39/39 test pass.</t>
        </is>
      </c>
      <c r="I70" s="30" t="inlineStr">
        <is>
          <t>Đạt</t>
        </is>
      </c>
      <c r="J70" s="31" t="inlineStr">
        <is>
          <t>Đã chạy lại 2026-07-15: 39/39 pass.</t>
        </is>
      </c>
      <c r="K70" s="84" t="n"/>
      <c r="L70" s="84" t="n"/>
      <c r="M70" s="84" t="n"/>
      <c r="N70" s="84" t="n"/>
      <c r="O70" s="84" t="n"/>
      <c r="P70" s="84" t="n"/>
      <c r="Q70" s="84" t="n"/>
    </row>
    <row r="71" ht="13.9" customHeight="1">
      <c r="A71" s="29" t="n"/>
      <c r="B71" s="30" t="n"/>
      <c r="C71" s="30" t="n"/>
      <c r="D71" s="30" t="n"/>
      <c r="E71" s="30" t="n"/>
      <c r="F71" s="30" t="n"/>
      <c r="G71" s="50" t="n"/>
      <c r="H71" s="30" t="n"/>
      <c r="I71" s="30" t="n"/>
      <c r="J71" s="31" t="n"/>
      <c r="K71" s="84" t="n"/>
      <c r="L71" s="84" t="n"/>
      <c r="M71" s="84" t="n"/>
      <c r="N71" s="84" t="n"/>
      <c r="O71" s="84" t="n"/>
      <c r="P71" s="84" t="n"/>
      <c r="Q71" s="84" t="n"/>
    </row>
    <row r="72" ht="13.9" customHeight="1">
      <c r="A72" s="29" t="n"/>
      <c r="B72" s="30" t="n"/>
      <c r="C72" s="30" t="n"/>
      <c r="D72" s="30" t="n"/>
      <c r="E72" s="30" t="n"/>
      <c r="F72" s="30" t="n"/>
      <c r="G72" s="50" t="n"/>
      <c r="H72" s="30" t="n"/>
      <c r="I72" s="30" t="n"/>
      <c r="J72" s="31" t="n"/>
      <c r="K72" s="84" t="n"/>
      <c r="L72" s="84" t="n"/>
      <c r="M72" s="84" t="n"/>
      <c r="N72" s="84" t="n"/>
      <c r="O72" s="84" t="n"/>
      <c r="P72" s="84" t="n"/>
      <c r="Q72" s="84" t="n"/>
    </row>
    <row r="73" ht="13.9" customHeight="1">
      <c r="A73" s="29" t="n"/>
      <c r="B73" s="30" t="n"/>
      <c r="C73" s="30" t="n"/>
      <c r="D73" s="30" t="n"/>
      <c r="E73" s="30" t="n"/>
      <c r="F73" s="30" t="n"/>
      <c r="G73" s="50" t="n"/>
      <c r="H73" s="30" t="n"/>
      <c r="I73" s="30" t="n"/>
      <c r="J73" s="31" t="n"/>
      <c r="K73" s="84" t="n"/>
      <c r="L73" s="84" t="n"/>
      <c r="M73" s="84" t="n"/>
      <c r="N73" s="84" t="n"/>
      <c r="O73" s="84" t="n"/>
      <c r="P73" s="84" t="n"/>
      <c r="Q73" s="84" t="n"/>
    </row>
    <row r="74" ht="13.9" customHeight="1">
      <c r="A74" s="29" t="n"/>
      <c r="B74" s="30" t="n"/>
      <c r="C74" s="30" t="n"/>
      <c r="D74" s="30" t="n"/>
      <c r="E74" s="30" t="n"/>
      <c r="F74" s="30" t="n"/>
      <c r="G74" s="50" t="n"/>
      <c r="H74" s="30" t="n"/>
      <c r="I74" s="30" t="n"/>
      <c r="J74" s="31" t="n"/>
      <c r="K74" s="84" t="n"/>
      <c r="L74" s="84" t="n"/>
      <c r="M74" s="84" t="n"/>
      <c r="N74" s="84" t="n"/>
      <c r="O74" s="84" t="n"/>
      <c r="P74" s="84" t="n"/>
      <c r="Q74" s="84" t="n"/>
    </row>
    <row r="75" ht="13.9" customHeight="1">
      <c r="A75" s="33" t="n"/>
      <c r="B75" s="34" t="n"/>
      <c r="C75" s="34" t="n"/>
      <c r="D75" s="34" t="n"/>
      <c r="E75" s="34" t="n"/>
      <c r="F75" s="34" t="n"/>
      <c r="G75" s="51" t="n"/>
      <c r="H75" s="34" t="n"/>
      <c r="I75" s="34" t="n"/>
      <c r="J75" s="35"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1" customHeight="1">
      <c r="A78" s="129" t="inlineStr">
        <is>
          <t>B. KIỂM TRA CẤU TRÚC GOOGLE DRIVE TRƯỚC KHI NỘP</t>
        </is>
      </c>
      <c r="K78" s="84" t="n"/>
      <c r="L78" s="84" t="n"/>
      <c r="M78" s="84" t="n"/>
      <c r="N78" s="84" t="n"/>
      <c r="O78" s="84" t="n"/>
      <c r="P78" s="84" t="n"/>
      <c r="Q78" s="84" t="n"/>
    </row>
    <row r="79" ht="13.9" customHeight="1">
      <c r="A79" s="2" t="inlineStr">
        <is>
          <t>STT</t>
        </is>
      </c>
      <c r="B79" s="3" t="inlineStr">
        <is>
          <t>Hạng mục cần có</t>
        </is>
      </c>
      <c r="C79" s="3" t="inlineStr">
        <is>
          <t>Tên thư mục/file chuẩn</t>
        </is>
      </c>
      <c r="D79" s="3" t="inlineStr">
        <is>
          <t>Link trực tiếp</t>
        </is>
      </c>
      <c r="E79" s="3" t="inlineStr">
        <is>
          <t>Public?</t>
        </is>
      </c>
      <c r="F79" s="3" t="inlineStr">
        <is>
          <t>Mở được?</t>
        </is>
      </c>
      <c r="G79" s="3" t="inlineStr">
        <is>
          <t>Đủ nội dung?</t>
        </is>
      </c>
      <c r="H79" s="3" t="inlineStr">
        <is>
          <t>Người kiểm tra</t>
        </is>
      </c>
      <c r="I79" s="3" t="inlineStr">
        <is>
          <t>Ngày kiểm tra</t>
        </is>
      </c>
      <c r="J79" s="4" t="inlineStr">
        <is>
          <t>Ghi chú</t>
        </is>
      </c>
      <c r="K79" s="84" t="n"/>
      <c r="L79" s="84" t="n"/>
      <c r="M79" s="84" t="n"/>
      <c r="N79" s="84" t="n"/>
      <c r="O79" s="84" t="n"/>
      <c r="P79" s="84" t="n"/>
      <c r="Q79" s="84" t="n"/>
    </row>
    <row r="80" ht="26.25" customHeight="1">
      <c r="A80" s="18" t="n">
        <v>1</v>
      </c>
      <c r="B80" s="6" t="inlineStr">
        <is>
          <t>Thư mục Google Drive gốc</t>
        </is>
      </c>
      <c r="C80" s="7" t="inlineStr">
        <is>
          <t>Link public chứa toàn bộ bài</t>
        </is>
      </c>
      <c r="D80" s="25" t="n"/>
      <c r="E80" s="26" t="inlineStr">
        <is>
          <t>Chưa tạo</t>
        </is>
      </c>
      <c r="F80" s="26" t="inlineStr">
        <is>
          <t>Không</t>
        </is>
      </c>
      <c r="G80" s="26" t="inlineStr">
        <is>
          <t>Không</t>
        </is>
      </c>
      <c r="H80" s="26" t="n"/>
      <c r="I80" s="49" t="n"/>
      <c r="J80" s="27" t="inlineStr">
        <is>
          <t>Chưa có thư mục Drive. Cần tạo và bật quyền "Anyone with the link — Viewer".</t>
        </is>
      </c>
      <c r="K80" s="84" t="n"/>
      <c r="L80" s="84" t="n"/>
      <c r="M80" s="84" t="n"/>
      <c r="N80" s="84" t="n"/>
      <c r="O80" s="84" t="n"/>
      <c r="P80" s="84" t="n"/>
      <c r="Q80" s="84" t="n"/>
    </row>
    <row r="81" ht="26.25" customHeight="1">
      <c r="A81" s="40" t="n">
        <v>2</v>
      </c>
      <c r="B81" s="9" t="inlineStr">
        <is>
          <t>Blueprint</t>
        </is>
      </c>
      <c r="C81" s="10" t="inlineStr">
        <is>
          <t>blueprint.pdf hoặc blueprint/</t>
        </is>
      </c>
      <c r="D81" s="29" t="n"/>
      <c r="E81" s="30" t="inlineStr">
        <is>
          <t>Chưa tải lên</t>
        </is>
      </c>
      <c r="F81" s="30" t="inlineStr">
        <is>
          <t>Không</t>
        </is>
      </c>
      <c r="G81" s="30" t="inlineStr">
        <is>
          <t>Không</t>
        </is>
      </c>
      <c r="H81" s="30" t="n"/>
      <c r="I81" s="50" t="n"/>
      <c r="J81" s="31" t="inlineStr">
        <is>
          <t>Blueprint đã có trong repo (blueprint/design.md, proposal.md, specs/); cần xuất PDF và tải lên Drive.</t>
        </is>
      </c>
      <c r="K81" s="84" t="n"/>
      <c r="L81" s="84" t="n"/>
      <c r="M81" s="84" t="n"/>
      <c r="N81" s="84" t="n"/>
      <c r="O81" s="84" t="n"/>
      <c r="P81" s="84" t="n"/>
      <c r="Q81" s="84" t="n"/>
    </row>
    <row r="82" ht="13.9" customHeight="1">
      <c r="A82" s="40" t="n">
        <v>3</v>
      </c>
      <c r="B82" s="9" t="inlineStr">
        <is>
          <t>Source code</t>
        </is>
      </c>
      <c r="C82" s="10" t="inlineStr">
        <is>
          <t>src/</t>
        </is>
      </c>
      <c r="D82" s="29" t="n"/>
      <c r="E82" s="30" t="inlineStr">
        <is>
          <t>Chưa tải lên</t>
        </is>
      </c>
      <c r="F82" s="30" t="inlineStr">
        <is>
          <t>Không</t>
        </is>
      </c>
      <c r="G82" s="30" t="inlineStr">
        <is>
          <t>Không</t>
        </is>
      </c>
      <c r="H82" s="30" t="n"/>
      <c r="I82" s="50" t="n"/>
      <c r="J82" s="31" t="inlineStr">
        <is>
          <t>Source đã có trên GitHub; cần đóng gói src/ lên Drive.</t>
        </is>
      </c>
      <c r="K82" s="84" t="n"/>
      <c r="L82" s="84" t="n"/>
      <c r="M82" s="84" t="n"/>
      <c r="N82" s="84" t="n"/>
      <c r="O82" s="84" t="n"/>
      <c r="P82" s="84" t="n"/>
      <c r="Q82" s="84" t="n"/>
    </row>
    <row r="83" ht="13.9" customHeight="1">
      <c r="A83" s="40" t="n">
        <v>4</v>
      </c>
      <c r="B83" s="9" t="inlineStr">
        <is>
          <t>Seed data và script DB</t>
        </is>
      </c>
      <c r="C83" s="10" t="inlineStr">
        <is>
          <t>data/</t>
        </is>
      </c>
      <c r="D83" s="29" t="n"/>
      <c r="E83" s="30" t="inlineStr">
        <is>
          <t>Chưa tải lên</t>
        </is>
      </c>
      <c r="F83" s="30" t="inlineStr">
        <is>
          <t>Không</t>
        </is>
      </c>
      <c r="G83" s="30" t="inlineStr">
        <is>
          <t>Không</t>
        </is>
      </c>
      <c r="H83" s="30" t="n"/>
      <c r="I83" s="50" t="n"/>
      <c r="J83" s="31" t="inlineStr">
        <is>
          <t>Seed và migration đã có (prisma/seed.ts, prisma/migrations/); cần đưa vào data/ trên Drive.</t>
        </is>
      </c>
      <c r="K83" s="84" t="n"/>
      <c r="L83" s="84" t="n"/>
      <c r="M83" s="84" t="n"/>
      <c r="N83" s="84" t="n"/>
      <c r="O83" s="84" t="n"/>
      <c r="P83" s="84" t="n"/>
      <c r="Q83" s="84" t="n"/>
    </row>
    <row r="84" ht="13.9" customHeight="1">
      <c r="A84" s="40" t="n">
        <v>5</v>
      </c>
      <c r="B84" s="9" t="inlineStr">
        <is>
          <t>Hướng dẫn chạy</t>
        </is>
      </c>
      <c r="C84" s="10" t="inlineStr">
        <is>
          <t>README.md</t>
        </is>
      </c>
      <c r="D84" s="29" t="n"/>
      <c r="E84" s="30" t="inlineStr">
        <is>
          <t>Chưa tải lên</t>
        </is>
      </c>
      <c r="F84" s="30" t="inlineStr">
        <is>
          <t>Không</t>
        </is>
      </c>
      <c r="G84" s="30" t="inlineStr">
        <is>
          <t>Không</t>
        </is>
      </c>
      <c r="H84" s="30" t="n"/>
      <c r="I84" s="50" t="n"/>
      <c r="J84" s="31" t="inlineStr">
        <is>
          <t>README.md đã có trong repo (267 dòng); cần copy lên Drive.</t>
        </is>
      </c>
      <c r="K84" s="84" t="n"/>
      <c r="L84" s="84" t="n"/>
      <c r="M84" s="84" t="n"/>
      <c r="N84" s="84" t="n"/>
      <c r="O84" s="84" t="n"/>
      <c r="P84" s="84" t="n"/>
      <c r="Q84" s="84" t="n"/>
    </row>
    <row r="85" ht="39.4" customHeight="1">
      <c r="A85" s="40" t="n">
        <v>6</v>
      </c>
      <c r="B85" s="9" t="inlineStr">
        <is>
          <t>Video trình bày</t>
        </is>
      </c>
      <c r="C85" s="10" t="inlineStr">
        <is>
          <t>clips/ — MP4 1080p, ~720 kbps, camera + demo</t>
        </is>
      </c>
      <c r="D85" s="29" t="n"/>
      <c r="E85" s="30" t="inlineStr">
        <is>
          <t>Chưa quay</t>
        </is>
      </c>
      <c r="F85" s="30" t="inlineStr">
        <is>
          <t>Không</t>
        </is>
      </c>
      <c r="G85" s="30" t="inlineStr">
        <is>
          <t>Không</t>
        </is>
      </c>
      <c r="H85" s="30" t="n"/>
      <c r="I85" s="50" t="n"/>
      <c r="J85" s="31" t="inlineStr">
        <is>
          <t>Chưa quay video. Cần MP4 1080p ~720 kbps, có camera thành viên và demo trực tiếp.</t>
        </is>
      </c>
      <c r="K85" s="84" t="n"/>
      <c r="L85" s="84" t="n"/>
      <c r="M85" s="84" t="n"/>
      <c r="N85" s="84" t="n"/>
      <c r="O85" s="84" t="n"/>
      <c r="P85" s="84" t="n"/>
      <c r="Q85" s="84" t="n"/>
    </row>
    <row r="86" ht="39.4" customHeight="1">
      <c r="A86" s="19" t="n">
        <v>7</v>
      </c>
      <c r="B86" s="12" t="inlineStr">
        <is>
          <t>File text nộp LMS</t>
        </is>
      </c>
      <c r="C86" s="13" t="inlineStr">
        <is>
          <t>mã-nhóm_mssv1_mssv2_mssv3_mssv4.txt</t>
        </is>
      </c>
      <c r="D86" s="33" t="n"/>
      <c r="E86" s="34" t="inlineStr">
        <is>
          <t>Chưa tạo</t>
        </is>
      </c>
      <c r="F86" s="34" t="inlineStr">
        <is>
          <t>Không</t>
        </is>
      </c>
      <c r="G86" s="34" t="inlineStr">
        <is>
          <t>Không</t>
        </is>
      </c>
      <c r="H86" s="34" t="n"/>
      <c r="I86" s="51" t="n"/>
      <c r="J86" s="35" t="inlineStr">
        <is>
          <t>Cần mã nhóm và MSSV của 4 thành viên mới đặt được tên file.</t>
        </is>
      </c>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3">
    <mergeCell ref="A3:J3"/>
    <mergeCell ref="A1:J1"/>
    <mergeCell ref="A78:J78"/>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7" customWidth="1" min="1" max="1"/>
    <col width="15" customWidth="1" min="2" max="2"/>
    <col width="22" customWidth="1" min="3" max="3"/>
    <col width="62" customWidth="1" min="4" max="4"/>
    <col width="42" customWidth="1" min="5" max="5"/>
    <col width="25" customWidth="1" min="6" max="6"/>
    <col width="62" customWidth="1" min="7" max="7"/>
    <col width="12" customWidth="1" min="8" max="8"/>
  </cols>
  <sheetData>
    <row r="1" ht="15" customHeight="1">
      <c r="A1" s="127" t="inlineStr">
        <is>
          <t>CHUẨN BỊ VẤN ĐÁP THEO YÊU CẦU TICKETBOX</t>
        </is>
      </c>
      <c r="I1" s="84" t="n"/>
      <c r="J1" s="84" t="n"/>
      <c r="K1" s="84" t="n"/>
      <c r="L1" s="84" t="n"/>
      <c r="M1" s="84" t="n"/>
      <c r="N1" s="84" t="n"/>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17" customHeight="1">
      <c r="A3" s="128" t="inlineStr">
        <is>
          <t>Giảng viên có thể hỏi bất kỳ thành viên nào. Hãy ghi ngắn gọn cách nhóm đã làm, file/code cần mở và người chịu trách nhiệm giải thích.</t>
        </is>
      </c>
      <c r="I3" s="84" t="n"/>
      <c r="J3" s="84" t="n"/>
      <c r="K3" s="84" t="n"/>
      <c r="L3" s="84" t="n"/>
      <c r="M3" s="84" t="n"/>
      <c r="N3" s="84" t="n"/>
      <c r="O3" s="84" t="n"/>
      <c r="P3" s="84" t="n"/>
      <c r="Q3" s="84" t="n"/>
    </row>
    <row r="4" ht="13.9" customHeight="1">
      <c r="A4" s="84" t="n"/>
      <c r="B4" s="84" t="n"/>
      <c r="C4" s="84" t="n"/>
      <c r="D4" s="84" t="n"/>
      <c r="E4" s="84" t="n"/>
      <c r="F4" s="84" t="n"/>
      <c r="G4" s="84" t="n"/>
      <c r="H4" s="84" t="n"/>
      <c r="I4" s="84" t="n"/>
      <c r="J4" s="84" t="n"/>
      <c r="K4" s="84" t="n"/>
      <c r="L4" s="84" t="n"/>
      <c r="M4" s="84" t="n"/>
      <c r="N4" s="84" t="n"/>
      <c r="O4" s="84" t="n"/>
      <c r="P4" s="84" t="n"/>
      <c r="Q4" s="84" t="n"/>
    </row>
    <row r="5" ht="13.9" customHeight="1">
      <c r="A5" s="2" t="inlineStr">
        <is>
          <t>STT</t>
        </is>
      </c>
      <c r="B5" s="3" t="inlineStr">
        <is>
          <t>Requirement ID</t>
        </is>
      </c>
      <c r="C5" s="3" t="inlineStr">
        <is>
          <t>Chủ đề vấn đáp</t>
        </is>
      </c>
      <c r="D5" s="3" t="inlineStr">
        <is>
          <t>Câu hỏi gợi ý</t>
        </is>
      </c>
      <c r="E5" s="3" t="inlineStr">
        <is>
          <t>Code/tài liệu cần mở</t>
        </is>
      </c>
      <c r="F5" s="3" t="inlineStr">
        <is>
          <t>Thành viên phụ trách</t>
        </is>
      </c>
      <c r="G5" s="3" t="inlineStr">
        <is>
          <t>Câu trả lời chuẩn bị ngắn gọn</t>
        </is>
      </c>
      <c r="H5" s="4" t="inlineStr">
        <is>
          <t>Đã luyện?</t>
        </is>
      </c>
      <c r="I5" s="84" t="n"/>
      <c r="J5" s="84" t="n"/>
      <c r="K5" s="84" t="n"/>
      <c r="L5" s="84" t="n"/>
      <c r="M5" s="84" t="n"/>
      <c r="N5" s="84" t="n"/>
      <c r="O5" s="84" t="n"/>
      <c r="P5" s="84" t="n"/>
      <c r="Q5" s="84" t="n"/>
    </row>
    <row r="6" ht="13.9" customHeight="1">
      <c r="A6" s="18" t="n">
        <v>1</v>
      </c>
      <c r="B6" s="6" t="inlineStr">
        <is>
          <t>BP01</t>
        </is>
      </c>
      <c r="C6" s="6" t="inlineStr">
        <is>
          <t>Kiến trúc</t>
        </is>
      </c>
      <c r="D6" s="6" t="inlineStr">
        <is>
          <t>Vì sao nhóm chọn kiến trúc này? Khi payment lỗi thì phần nào vẫn hoạt động?</t>
        </is>
      </c>
      <c r="E6" s="7" t="inlineStr">
        <is>
          <t>blueprint/design.md — Context, Decisions 1–12; packages/backend/src/ (7 module bounded-context)</t>
        </is>
      </c>
      <c r="F6" s="25" t="inlineStr">
        <is>
          <t>Nguyễn Bảo An</t>
        </is>
      </c>
      <c r="G6" s="26" t="inlineStr">
        <is>
          <t>Chọn modular monolith NestJS + clean/hexagonal (Decision 1) vì nhóm 4 người, 5 tuần: microservice sẽ tốn chi phí vận hành mà không đem lại lợi ích. Ranh giới module vẫn chặt (domain → application → adapters → infrastructure), mọi hệ thống ngoài chỉ gọi qua *.port.ts nên sau này tách service rất dễ. Khi payment lỗi: circuit breaker mở mạch, CHỈ luồng thanh toán bị chặn; xem concert, tìm kiếm, chi tiết vé vẫn chạy vì catalog đọc từ cache Redis và không phụ thuộc payment. Đơn đã tạo vẫn giữ chỗ tới khi hết hạn rồi tự nhả vé.</t>
        </is>
      </c>
      <c r="H6" s="27" t="inlineStr">
        <is>
          <t>Có</t>
        </is>
      </c>
      <c r="I6" s="84" t="n"/>
      <c r="J6" s="84" t="n"/>
      <c r="K6" s="84" t="n"/>
      <c r="L6" s="84" t="n"/>
      <c r="M6" s="84" t="n"/>
      <c r="N6" s="84" t="n"/>
      <c r="O6" s="84" t="n"/>
      <c r="P6" s="84" t="n"/>
      <c r="Q6" s="84" t="n"/>
    </row>
    <row r="7" ht="13.9" customHeight="1">
      <c r="A7" s="40" t="n">
        <v>2</v>
      </c>
      <c r="B7" s="9" t="inlineStr">
        <is>
          <t>BP03</t>
        </is>
      </c>
      <c r="C7" s="9" t="inlineStr">
        <is>
          <t>C4 Container</t>
        </is>
      </c>
      <c r="D7" s="9" t="inlineStr">
        <is>
          <t>Các container giao tiếp đồng bộ/bất đồng bộ như thế nào? Vì sao cần broker/cache?</t>
        </is>
      </c>
      <c r="E7" s="10" t="inlineStr">
        <is>
          <t>blueprint/design.md — "C4 Level 2: Container"; docker-compose.yml; apps/api, apps/worker</t>
        </is>
      </c>
      <c r="F7" s="29" t="inlineStr">
        <is>
          <t>Nguyễn Bảo An</t>
        </is>
      </c>
      <c r="G7" s="30" t="inlineStr">
        <is>
          <t>Container: apps/api (HTTP), apps/worker (BullMQ), apps/web (admin/BTC), apps/audience-web (khán giả), apps/checkin-mobile (React Native), PostgreSQL, Redis, Maildev. Đồng bộ: client → api (REST, contract Zod dùng chung @ticketbox/api-types). Bất đồng bộ: api → Redis/BullMQ → worker cho việc chậm hoặc có thể lỗi (gửi email, sinh QR, gọi AI, import CSV, nhắc lịch). Cần broker để request mua vé không phải chờ gửi mail/gọi AI; cần cache vì trang concert là read-heavy (80.000 người cùng xem) — Redis chịu tải đọc thay cho Postgres.</t>
        </is>
      </c>
      <c r="H7" s="31" t="inlineStr">
        <is>
          <t>Có</t>
        </is>
      </c>
      <c r="I7" s="84" t="n"/>
      <c r="J7" s="84" t="n"/>
      <c r="K7" s="84" t="n"/>
      <c r="L7" s="84" t="n"/>
      <c r="M7" s="84" t="n"/>
      <c r="N7" s="84" t="n"/>
      <c r="O7" s="84" t="n"/>
      <c r="P7" s="84" t="n"/>
      <c r="Q7" s="84" t="n"/>
    </row>
    <row r="8" ht="26.25" customHeight="1">
      <c r="A8" s="40" t="n">
        <v>3</v>
      </c>
      <c r="B8" s="9" t="inlineStr">
        <is>
          <t>BP05</t>
        </is>
      </c>
      <c r="C8" s="9" t="inlineStr">
        <is>
          <t>Database</t>
        </is>
      </c>
      <c r="D8" s="9" t="inlineStr">
        <is>
          <t>Entity và transaction boundary nào đảm bảo không oversell? SQL/NoSQL được chọn vì sao?</t>
        </is>
      </c>
      <c r="E8" s="10" t="inlineStr">
        <is>
          <t>blueprint/design.md — "Database Design"; prisma/schema.prisma; packages/backend/src/ordering/infrastructure/database/prisma-inventory-reservation.repository.ts</t>
        </is>
      </c>
      <c r="F8" s="29" t="inlineStr">
        <is>
          <t>Nguyễn Bảo An</t>
        </is>
      </c>
      <c r="G8" s="30" t="inlineStr">
        <is>
          <t>Chọn PostgreSQL làm nguồn sự thật (Decision 2) vì bán vé cần ACID + ràng buộc mạnh; Redis CHỈ giữ state phái sinh (cache, rate-limit bucket, idempotency key, circuit-breaker) — mất Redis không mất tiền/vé. Entity chống oversell: ticket_types (total_quantity, reserved_quantity, sold_quantity) + orders + order_items. Transaction boundary: toàn bộ đặt chỗ nằm trong MỘT transaction — lockTicketTypes() dùng SELECT ... FOR UPDATE khóa dòng ticket_type, rồi mới kiểm tra available = total − reserved − sold, tạo order và increment reserved_quantity. Không có đường nào khác được sửa reserved/sold.</t>
        </is>
      </c>
      <c r="H8" s="31" t="inlineStr">
        <is>
          <t>Có</t>
        </is>
      </c>
      <c r="I8" s="84" t="n"/>
      <c r="J8" s="84" t="n"/>
      <c r="K8" s="84" t="n"/>
      <c r="L8" s="84" t="n"/>
      <c r="M8" s="84" t="n"/>
      <c r="N8" s="84" t="n"/>
      <c r="O8" s="84" t="n"/>
      <c r="P8" s="84" t="n"/>
      <c r="Q8" s="84" t="n"/>
    </row>
    <row r="9" ht="13.9" customHeight="1">
      <c r="A9" s="40" t="n">
        <v>4</v>
      </c>
      <c r="B9" s="9" t="inlineStr">
        <is>
          <t>BP09/IM06</t>
        </is>
      </c>
      <c r="C9" s="9" t="inlineStr">
        <is>
          <t>RBAC</t>
        </is>
      </c>
      <c r="D9" s="9" t="inlineStr">
        <is>
          <t>Một nhân sự soát vé thử gọi API tạo concert sẽ bị chặn ở đâu?</t>
        </is>
      </c>
      <c r="E9" s="10" t="inlineStr">
        <is>
          <t>packages/backend/src/identity/adapters/http/guards/roles.guard.ts + roles.guard.spec.ts; blueprint/design.md — "Access Control Design"</t>
        </is>
      </c>
      <c r="F9" s="29" t="inlineStr">
        <is>
          <t>Nguyễn Bảo An</t>
        </is>
      </c>
      <c r="G9" s="30" t="inlineStr">
        <is>
          <t>Bị chặn ở 3 lớp, lớp đầu tiên là server: (1) JwtAuthGuard xác thực token và nạp roles; (2) RolesGuard đọc decorator @Roles(Role.ORGANIZER) trên controller tạo concert — CHECKIN_STAFF không có role này nên trả 403 TRƯỚC khi vào use-case; (3) nếu là ORGANIZER thì use-case còn re-check ownership (organizer có sở hữu concert đó không). Route guard ở frontend chỉ để ẩn màn hình, KHÔNG phải nguồn sự thật — gọi thẳng API bằng curl vẫn bị 403. Có test roles.guard.spec.ts chứng minh.</t>
        </is>
      </c>
      <c r="H9" s="31" t="inlineStr">
        <is>
          <t>Có</t>
        </is>
      </c>
      <c r="I9" s="84" t="n"/>
      <c r="J9" s="84" t="n"/>
      <c r="K9" s="84" t="n"/>
      <c r="L9" s="84" t="n"/>
      <c r="M9" s="84" t="n"/>
      <c r="N9" s="84" t="n"/>
      <c r="O9" s="84" t="n"/>
      <c r="P9" s="84" t="n"/>
      <c r="Q9" s="84" t="n"/>
    </row>
    <row r="10" ht="13.9" customHeight="1">
      <c r="A10" s="40" t="n">
        <v>5</v>
      </c>
      <c r="B10" s="9" t="inlineStr">
        <is>
          <t>BP10/IM12</t>
        </is>
      </c>
      <c r="C10" s="9" t="inlineStr">
        <is>
          <t>Rate limiting</t>
        </is>
      </c>
      <c r="D10" s="9" t="inlineStr">
        <is>
          <t>Nhóm dùng thuật toán nào, key là user/IP/token nào, ngưỡng bao nhiêu và vì sao?</t>
        </is>
      </c>
      <c r="E10" s="10" t="inlineStr">
        <is>
          <t>packages/backend/src/platform/rate-limiting/rate-limit-policy.ts, rate-limit.interceptor.ts, rate-limit-actor-key.service.ts</t>
        </is>
      </c>
      <c r="F10" s="29" t="inlineStr">
        <is>
          <t>Trương Nhật Đạt</t>
        </is>
      </c>
      <c r="G10" s="30" t="inlineStr">
        <is>
          <t>Thuật toán: token bucket trên Redis (Lua script atomic, dùng chung cho nhiều instance API). Có 7 policy theo nhóm endpoint, không dùng 1 ngưỡng chung: BROWSING 120 req/phút (key = ip, failOpen = true — Redis chết vẫn cho xem concert), CHECKOUT 5/phút, PAYMENT_INITIATION 3/phút, ADMIN_WRITE 20/phút, CHECKIN_SYNC 60/phút (key = device), GEOCODING 1/giây, AUTH_PASSWORD_RESET 15/15 phút. Key theo actor: user:{id} khi đã đăng nhập, fallback ip:{ip} khi ẩn danh; checkout dùng cả user + ip để chống 1 người mở nhiều tab. Vượt ngưỡng trả 429. Các policy nhạy cảm (checkout, payment) đặt failOpen = false — thà chặn còn hơn cho lọt khi Redis lỗi.</t>
        </is>
      </c>
      <c r="H10" s="31" t="inlineStr">
        <is>
          <t>Có</t>
        </is>
      </c>
      <c r="I10" s="84" t="n"/>
      <c r="J10" s="84" t="n"/>
      <c r="K10" s="84" t="n"/>
      <c r="L10" s="84" t="n"/>
      <c r="M10" s="84" t="n"/>
      <c r="N10" s="84" t="n"/>
      <c r="O10" s="84" t="n"/>
      <c r="P10" s="84" t="n"/>
      <c r="Q10" s="84" t="n"/>
    </row>
    <row r="11" ht="13.9" customHeight="1">
      <c r="A11" s="40" t="n">
        <v>6</v>
      </c>
      <c r="B11" s="9" t="inlineStr">
        <is>
          <t>BP11/IM13</t>
        </is>
      </c>
      <c r="C11" s="9" t="inlineStr">
        <is>
          <t>Circuit breaker</t>
        </is>
      </c>
      <c r="D11" s="9" t="inlineStr">
        <is>
          <t>Điều kiện chuyển Closed → Open → Half-Open? Fallback khi payment lỗi là gì?</t>
        </is>
      </c>
      <c r="E11" s="10" t="inlineStr">
        <is>
          <t>packages/backend/src/payment/infrastructure/redis/redis-payment-circuit-breaker.ts + .spec.ts; payment-circuit-breaker.port.ts</t>
        </is>
      </c>
      <c r="F11" s="29" t="inlineStr">
        <is>
          <t>Trương Nhật Đạt</t>
        </is>
      </c>
      <c r="G11" s="30" t="inlineStr">
        <is>
          <t>Ngưỡng thật: PAYMENT_CIRCUIT_FAILURE_THRESHOLD = 3, OPEN_COOLDOWN = 30.000 ms, HALF_OPEN_MAX_TRIALS = 1. CLOSED → OPEN khi đếm đủ 3 lỗi liên tiếp từ provider. OPEN: mọi request bị chặn ngay (BLOCK_OPEN), không gọi provider, cho tới khi hết 30 giây cooldown. OPEN → HALF_OPEN tự động sau cooldown: chỉ cho ĐÚNG 1 request thử đi qua; nếu thành công → về CLOSED và reset đếm, nếu lỗi → quay lại OPEN thêm 30 giây. Toàn bộ chuyển trạng thái nằm trong 1 Lua script chạy atomic trên Redis nên nhiều instance API cùng thấy một trạng thái. Fallback: người dùng nhận thông báo "cổng thanh toán tạm gián đoạn, thử lại sau", đơn giữ nguyên PENDING và vẫn còn hạn giữ chỗ; catalog/xem vé không bị ảnh hưởng.</t>
        </is>
      </c>
      <c r="H11" s="31" t="inlineStr">
        <is>
          <t>Có</t>
        </is>
      </c>
      <c r="I11" s="84" t="n"/>
      <c r="J11" s="84" t="n"/>
      <c r="K11" s="84" t="n"/>
      <c r="L11" s="84" t="n"/>
      <c r="M11" s="84" t="n"/>
      <c r="N11" s="84" t="n"/>
      <c r="O11" s="84" t="n"/>
      <c r="P11" s="84" t="n"/>
      <c r="Q11" s="84" t="n"/>
    </row>
    <row r="12" ht="13.9" customHeight="1">
      <c r="A12" s="40" t="n">
        <v>7</v>
      </c>
      <c r="B12" s="9" t="inlineStr">
        <is>
          <t>BP12/IM14</t>
        </is>
      </c>
      <c r="C12" s="9" t="inlineStr">
        <is>
          <t>Idempotency</t>
        </is>
      </c>
      <c r="D12" s="9" t="inlineStr">
        <is>
          <t>Nếu client retry 5 lần cùng Idempotency-Key, database và response thay đổi thế nào?</t>
        </is>
      </c>
      <c r="E12" s="10" t="inlineStr">
        <is>
          <t>packages/backend/src/payment/infrastructure/redis/redis-payment-idempotency.store.ts + .spec.ts; ordering: unique (userId, idempotencyKey)</t>
        </is>
      </c>
      <c r="F12" s="29" t="inlineStr">
        <is>
          <t>Trương Nhật Đạt</t>
        </is>
      </c>
      <c r="G12" s="30" t="inlineStr">
        <is>
          <t>Retry 5 lần cùng Idempotency-Key: chỉ lần đầu tạo giao dịch. Cơ chế: Redis SET NX + TTL — lần 1 chiếm key thành công (CLAIMED) và gọi provider; lần 2..5 thấy key đã tồn tại nên KHÔNG gọi provider nữa mà đọc bản ghi: nếu COMPLETED thì trả lại nguyên response cũ đã lưu (replay), nếu đang chạy thì trả IN_PROGRESS, nếu lần đầu fail thì trả FAILED. Database: chỉ 1 payment record, tiền chỉ trừ 1 lần. Ở tầng đơn hàng còn 1 lớp nữa: unique (userId, idempotencyKey) — tạo lại đơn cùng key thì trả về đúng đơn cũ. Câu hỏi bẫy — cùng key nhưng KHÁC payload: store so sánh requestHash, khác thì trả MISMATCH (từ chối), không âm thầm ghi đè.</t>
        </is>
      </c>
      <c r="H12" s="31" t="inlineStr">
        <is>
          <t>Có</t>
        </is>
      </c>
      <c r="I12" s="84" t="n"/>
      <c r="J12" s="84" t="n"/>
      <c r="K12" s="84" t="n"/>
      <c r="L12" s="84" t="n"/>
      <c r="M12" s="84" t="n"/>
      <c r="N12" s="84" t="n"/>
      <c r="O12" s="84" t="n"/>
      <c r="P12" s="84" t="n"/>
      <c r="Q12" s="84" t="n"/>
    </row>
    <row r="13" ht="13.9" customHeight="1">
      <c r="A13" s="40" t="n">
        <v>8</v>
      </c>
      <c r="B13" s="9" t="inlineStr">
        <is>
          <t>BP13/IM15</t>
        </is>
      </c>
      <c r="C13" s="9" t="inlineStr">
        <is>
          <t>Caching</t>
        </is>
      </c>
      <c r="D13" s="9" t="inlineStr">
        <is>
          <t>TTL thông tin concert và số vé khác nhau ra sao? Khi bán thành công invalidate thế nào?</t>
        </is>
      </c>
      <c r="E13" s="10" t="inlineStr">
        <is>
          <t>packages/backend/src/concert-management/application/cache/ — caching-get-concert-availability.use-case.ts (TTL 5s), caching-get-public-concert-detail.use-case.ts (TTL 300s), invalidate-concert-catalog-cache.ts</t>
        </is>
      </c>
      <c r="F13" s="29" t="inlineStr">
        <is>
          <t>Phạm Quang Vinh</t>
        </is>
      </c>
      <c r="G13" s="30" t="inlineStr">
        <is>
          <t>TTL khác nhau vì tần suất đổi khác nhau: thông tin concert (tên, ngày, poster, mô tả) gần như tĩnh → TTL 300 giây; SỐ VÉ CÒN LẠI đổi liên tục trong lúc mở bán → TTL chỉ 5 giây, coi như snapshot tự làm mới, chấp nhận lệch tối đa 5 giây trên trang danh sách. Quan trọng: số vé hiển thị KHÔNG phải nguồn sự thật — lúc bấm mua, transaction có SELECT FOR UPDATE mới quyết định, nên cache lệch cũng không gây oversell. Khi ghi (sửa concert, đổi loại vé): gọi invalidateConcertCatalogCache() xóa theo prefix ticketbox:cache:concert:* — xóa cả list, detail và availability.</t>
        </is>
      </c>
      <c r="H13" s="31" t="inlineStr">
        <is>
          <t>Có</t>
        </is>
      </c>
      <c r="I13" s="84" t="n"/>
      <c r="J13" s="84" t="n"/>
      <c r="K13" s="84" t="n"/>
      <c r="L13" s="84" t="n"/>
      <c r="M13" s="84" t="n"/>
      <c r="N13" s="84" t="n"/>
      <c r="O13" s="84" t="n"/>
      <c r="P13" s="84" t="n"/>
      <c r="Q13" s="84" t="n"/>
    </row>
    <row r="14" ht="13.9" customHeight="1">
      <c r="A14" s="40" t="n">
        <v>9</v>
      </c>
      <c r="B14" s="9" t="inlineStr">
        <is>
          <t>IM03</t>
        </is>
      </c>
      <c r="C14" s="9" t="inlineStr">
        <is>
          <t>Giới hạn vé/user</t>
        </is>
      </c>
      <c r="D14" s="9" t="inlineStr">
        <is>
          <t>Hai request đồng thời từ cùng tài khoản có thể vượt limit không? Test chứng minh?</t>
        </is>
      </c>
      <c r="E14" s="10" t="inlineStr">
        <is>
          <t>packages/backend/src/ordering/infrastructure/database/prisma-inventory-reservation.repository.ts — validatePerUserTicketLimits(); spec: "prevents concurrent same-user reservations from bypassing max per user after the row lock"</t>
        </is>
      </c>
      <c r="F14" s="29" t="inlineStr">
        <is>
          <t>Trương Nhật Đạt</t>
        </is>
      </c>
      <c r="G14" s="30" t="inlineStr">
        <is>
          <t>KHÔNG vượt được. Nếu chỉ SELECT rồi INSERT thì 2 request đồng thời sẽ cùng đọc "đã mua 0" rồi cùng ghi → lách limit. Cách xử lý: lockTicketTypes() làm SELECT ... FOR UPDATE khóa dòng ticket_type TRƯỚC, nên 2 request cùng user bị xếp hàng tuần tự; request thứ hai chỉ chạy sau khi request đầu commit, lúc đó đếm lại đã thấy số vé user đang giữ (tính CẢ đơn PENDING chưa thanh toán, không chỉ đơn đã trả tiền) nên validatePerUserTicketLimits() ném lỗi vượt giới hạn. Test chứng minh: chạy npx vitest run packages/backend/src/ordering/infrastructure/database/prisma-inventory-reservation.repository.spec.ts — 29/29 pass, có case đúng tên trên.</t>
        </is>
      </c>
      <c r="H14" s="31" t="inlineStr">
        <is>
          <t>Có</t>
        </is>
      </c>
      <c r="I14" s="84" t="n"/>
      <c r="J14" s="84" t="n"/>
      <c r="K14" s="84" t="n"/>
      <c r="L14" s="84" t="n"/>
      <c r="M14" s="84" t="n"/>
      <c r="N14" s="84" t="n"/>
      <c r="O14" s="84" t="n"/>
      <c r="P14" s="84" t="n"/>
      <c r="Q14" s="84" t="n"/>
    </row>
    <row r="15" ht="13.9" customHeight="1">
      <c r="A15" s="40" t="n">
        <v>10</v>
      </c>
      <c r="B15" s="9" t="inlineStr">
        <is>
          <t>IM11</t>
        </is>
      </c>
      <c r="C15" s="9" t="inlineStr">
        <is>
          <t>Tranh chấp vé</t>
        </is>
      </c>
      <c r="D15" s="9" t="inlineStr">
        <is>
          <t>Hai người mua vé cuối cùng cùng lúc: code nào quyết định người thắng?</t>
        </is>
      </c>
      <c r="E15" s="10" t="inlineStr">
        <is>
          <t>packages/backend/src/ordering/infrastructure/database/prisma-inventory-reservation.repository.ts — lockTicketTypes() + validateLockedTicketTypes(); spec: "prevents oversell when concurrent reservations serialize through the ticket type lock"</t>
        </is>
      </c>
      <c r="F15" s="29" t="inlineStr">
        <is>
          <t>Trương Nhật Đạt</t>
        </is>
      </c>
      <c r="G15" s="30" t="inlineStr">
        <is>
          <t>Code quyết định là lockTicketTypes() — SELECT ... FOR UPDATE trên dòng ticket_type, nằm trong transaction tạo đơn. Hai người bấm mua vé cuối cùng cùng lúc: cả hai vào transaction, nhưng Postgres chỉ cho MỘT giao dịch giữ row lock; người vào trước kiểm tra available = total − reserved − sold = 1 → hợp lệ → tạo đơn và increment reserved_quantity rồi commit. Người thứ hai bị chặn ở lock, khi được chạy tiếp thì đọc lại số đã cập nhật, available = 0 → validateLockedTicketTypes() ném lỗi hết vé, không tạo đơn, không đụng tồn kho. Toàn bộ nằm trong 1 transaction nên không có khe hở. Đây là cơ chế DUY NHẤT thay đổi reserved_quantity/sold_quantity.</t>
        </is>
      </c>
      <c r="H15" s="31" t="inlineStr">
        <is>
          <t>Có</t>
        </is>
      </c>
      <c r="I15" s="84" t="n"/>
      <c r="J15" s="84" t="n"/>
      <c r="K15" s="84" t="n"/>
      <c r="L15" s="84" t="n"/>
      <c r="M15" s="84" t="n"/>
      <c r="N15" s="84" t="n"/>
      <c r="O15" s="84" t="n"/>
      <c r="P15" s="84" t="n"/>
      <c r="Q15" s="84" t="n"/>
    </row>
    <row r="16" ht="13.9" customHeight="1">
      <c r="A16" s="40" t="n">
        <v>11</v>
      </c>
      <c r="B16" s="9" t="inlineStr">
        <is>
          <t>IM08</t>
        </is>
      </c>
      <c r="C16" s="9" t="inlineStr">
        <is>
          <t>Offline check-in</t>
        </is>
      </c>
      <c r="D16" s="9" t="inlineStr">
        <is>
          <t>Hai thiết bị offline quét cùng QR thì xử lý xung đột khi đồng bộ thế nào?</t>
        </is>
      </c>
      <c r="E16" s="10" t="inlineStr">
        <is>
          <t>packages/backend/src/checkin/application/use-cases/batch-sync.use-case.ts + .spec.ts; apps/checkin-mobile/src/features/offline-queue/; docs/manual-tests/checkin-offline-sync.md</t>
        </is>
      </c>
      <c r="F16" s="29" t="inlineStr">
        <is>
          <t>Nguyễn Lê Thế Vinh</t>
        </is>
      </c>
      <c r="G16" s="30" t="inlineStr">
        <is>
          <t>Khi offline, máy quét lưu sự kiện vào hàng đợi cục bộ kèm localId và thời điểm quét, đồng thời tra vé trong ticket-cache đã tải sẵn để báo hợp lệ ngay tại cổng. Khi có mạng, app đẩy cả batch lên POST batch-sync. SERVER là trọng tài, không phải điện thoại: server cố "claim" check-in cho từng vé; vé nào claim được đầu tiên → accepted. Nếu cùng một MÁY gửi lại (retry mạng) → trả DUPLICATE, coi như thành công, không tạo bản ghi mới. Nếu MÁY KHÁC đã check-in vé đó trước → trả CONFLICT kèm lý do "Ticket was accepted on another device", máy sau hiển thị cảnh báo cho nhân sự. Nhờ vậy không mất dữ liệu (mọi scan đều được gửi lên) và không ai vào được hai lần.</t>
        </is>
      </c>
      <c r="H16" s="31" t="inlineStr">
        <is>
          <t>Có</t>
        </is>
      </c>
      <c r="I16" s="84" t="n"/>
      <c r="J16" s="84" t="n"/>
      <c r="K16" s="84" t="n"/>
      <c r="L16" s="84" t="n"/>
      <c r="M16" s="84" t="n"/>
      <c r="N16" s="84" t="n"/>
      <c r="O16" s="84" t="n"/>
      <c r="P16" s="84" t="n"/>
      <c r="Q16" s="84" t="n"/>
    </row>
    <row r="17" ht="13.9" customHeight="1">
      <c r="A17" s="40" t="n">
        <v>12</v>
      </c>
      <c r="B17" s="9" t="inlineStr">
        <is>
          <t>IM09</t>
        </is>
      </c>
      <c r="C17" s="9" t="inlineStr">
        <is>
          <t>AI Artist Bio</t>
        </is>
      </c>
      <c r="D17" s="9" t="inlineStr">
        <is>
          <t>Pipeline đọc PDF, làm sạch, prompt/model và xử lý PDF lỗi/hallucination thế nào?</t>
        </is>
      </c>
      <c r="E17" s="10" t="inlineStr">
        <is>
          <t>packages/backend/src/ai-artist-bio/ — application/pdf-validation.ts, infrastructure/pdf/simple-pdf-text-extractor.ts, infrastructure/ai/gemini-artist-bio-generator.adapter.ts, application/use-cases/process-artist-bio.use-case.ts</t>
        </is>
      </c>
      <c r="F17" s="29" t="inlineStr">
        <is>
          <t>Nguyễn Lê Thế Vinh</t>
        </is>
      </c>
      <c r="G17" s="30" t="inlineStr">
        <is>
          <t>Pipeline: (1) upload PDF → pdf-validation.ts kiểm đuôi .pdf, contentType application/pdf, khác rỗng, dưới giới hạn dung lượng VÀ chữ ký nhị phân %PDF- (chống đổi tên file giả); (2) lưu vào object storage, tạo job trạng thái DRAFT → PROCESSING; (3) worker trích text bằng pdf-parse và làm sạch; (4) gọi Gemini qua GeminiArtistBioGeneratorAdapter (model lấy từ config), có AiBioGeneratorPort nên nếu không có API key hoặc AI chết thì tự động rơi về bộ sinh cục bộ tất định — hệ thống không bao giờ đứng vì AI. PDF lỗi/không trích được text: job chuyển FAILED kèm errorMessage, retry backoff mũ 2 (tối đa 15 phút) tới maxAttempts, KHÔNG làm sập request của người dùng. Chống hallucination: bio KHÔNG tự động công khai — bắt buộc organizer/admin duyệt (READY_FOR_REVIEW → Publish/Reject) thì audience mới thấy.</t>
        </is>
      </c>
      <c r="H17" s="31" t="inlineStr">
        <is>
          <t>Có</t>
        </is>
      </c>
      <c r="I17" s="84" t="n"/>
      <c r="J17" s="84" t="n"/>
      <c r="K17" s="84" t="n"/>
      <c r="L17" s="84" t="n"/>
      <c r="M17" s="84" t="n"/>
      <c r="N17" s="84" t="n"/>
      <c r="O17" s="84" t="n"/>
      <c r="P17" s="84" t="n"/>
      <c r="Q17" s="84" t="n"/>
    </row>
    <row r="18" ht="13.9" customHeight="1">
      <c r="A18" s="40" t="n">
        <v>13</v>
      </c>
      <c r="B18" s="9" t="inlineStr">
        <is>
          <t>IM10</t>
        </is>
      </c>
      <c r="C18" s="9" t="inlineStr">
        <is>
          <t>CSV Guest List</t>
        </is>
      </c>
      <c r="D18" s="9" t="inlineStr">
        <is>
          <t>File nhập lại lần hai có tạo khách trùng không? Dòng lỗi được xử lý/báo cáo ra sao?</t>
        </is>
      </c>
      <c r="E18" s="10" t="inlineStr">
        <is>
          <t>packages/backend/src/guest-list-import/ — claim-guest-list-import.use-case.ts (sha256 checksum), process-guest-list-import.use-case.ts, domain/normalization.ts; test/guest-list/guest-list.e2e-spec.ts</t>
        </is>
      </c>
      <c r="F18" s="29" t="inlineStr">
        <is>
          <t>Nguyễn Lê Thế Vinh</t>
        </is>
      </c>
      <c r="G18" s="30" t="inlineStr">
        <is>
          <t>Nhập lại lần hai KHÔNG tạo khách trùng, chống trùng ở 2 mức. Mức file: claim tính checksum = sha256(nội dung file) và lưu tại sources/{concertId}/{checksum}.csv — cùng nội dung thì cùng checksum, batch bị nhận diện là đã xử lý, không import lại. Mức dòng: normalization.ts chuẩn hóa rồi sinh khóa định danh (email:{normalizedEmail}), dòng nào trùng khóa với khách đã có sẽ bị đếm vào duplicateRows chứ không tạo bản ghi mới (import idempotent). Dòng lỗi (thiếu cột bắt buộc, email sai định dạng): KHÔNG làm hỏng cả file — dòng hợp lệ vẫn được nhập, dòng lỗi được ghi vào invalidRows kèm rowNumber và lý do, xuất ra file báo cáo reports/{concertId}/{checksum}.json để admin xem lại trên giao diện. Job chạy trong worker nên file hỏng không làm gián đoạn hệ thống.</t>
        </is>
      </c>
      <c r="H18" s="31" t="inlineStr">
        <is>
          <t>Có</t>
        </is>
      </c>
      <c r="I18" s="84" t="n"/>
      <c r="J18" s="84" t="n"/>
      <c r="K18" s="84" t="n"/>
      <c r="L18" s="84" t="n"/>
      <c r="M18" s="84" t="n"/>
      <c r="N18" s="84" t="n"/>
      <c r="O18" s="84" t="n"/>
      <c r="P18" s="84" t="n"/>
      <c r="Q18" s="84" t="n"/>
    </row>
    <row r="19" ht="13.9" customHeight="1">
      <c r="A19" s="40" t="n">
        <v>14</v>
      </c>
      <c r="B19" s="9" t="inlineStr">
        <is>
          <t>IM04</t>
        </is>
      </c>
      <c r="C19" s="9" t="inlineStr">
        <is>
          <t>Thông báo</t>
        </is>
      </c>
      <c r="D19" s="9" t="inlineStr">
        <is>
          <t>Muốn thêm Zalo OA mà không sửa logic mua vé thì mở rộng ở đâu?</t>
        </is>
      </c>
      <c r="E19" s="10" t="inlineStr">
        <is>
          <t>packages/backend/src/notification/domain/ports/notification-channel.port.ts; notification.types.ts (enum NotificationChannel); notification-delivery.processor.ts</t>
        </is>
      </c>
      <c r="F19" s="29" t="inlineStr">
        <is>
          <t>Nguyễn Lê Thế Vinh</t>
        </is>
      </c>
      <c r="G19" s="30" t="inlineStr">
        <is>
          <t>Mở rộng ở đúng 3 chỗ, KHÔNG đụng vào logic mua vé: (1) thêm ZALO vào enum NotificationChannel; (2) viết ZaloNotificationChannelAdapter implements NotificationChannelPort — interface chỉ có đúng một hàm send(DeliveryRequest): Promise&lt;DeliveryResult&gt;; (3) đăng ký adapter đó trong notification module. Lý do làm được: ordering/payment không bao giờ gọi thẳng email — chúng chỉ đẩy job vào queue notification, worker mới chọn kênh theo NotificationChannel. Đây là Dependency Inversion: nghiệp vụ phụ thuộc vào port, không phụ thuộc nhà cung cấp. Tôi có thể mở file port ra và chỉ đúng dòng interface khi thầy hỏi.</t>
        </is>
      </c>
      <c r="H19" s="31" t="inlineStr">
        <is>
          <t>Có</t>
        </is>
      </c>
      <c r="I19" s="84" t="n"/>
      <c r="J19" s="84" t="n"/>
      <c r="K19" s="84" t="n"/>
      <c r="L19" s="84" t="n"/>
      <c r="M19" s="84" t="n"/>
      <c r="N19" s="84" t="n"/>
      <c r="O19" s="84" t="n"/>
      <c r="P19" s="84" t="n"/>
      <c r="Q19" s="84" t="n"/>
    </row>
    <row r="20" ht="13.9" customHeight="1">
      <c r="A20" s="40" t="n">
        <v>15</v>
      </c>
      <c r="B20" s="9" t="inlineStr">
        <is>
          <t>IM16/IM18</t>
        </is>
      </c>
      <c r="C20" s="9" t="inlineStr">
        <is>
          <t>Khởi chạy</t>
        </is>
      </c>
      <c r="D20" s="9" t="inlineStr">
        <is>
          <t>Máy mới clone repo cần các lệnh nào? Cách chứng minh hệ thống chạy đầy đủ?</t>
        </is>
      </c>
      <c r="E20" s="10" t="inlineStr">
        <is>
          <t>README.md; docker-compose.yml; package.json (scripts); prisma/seed.ts; docs/submission-validation.md</t>
        </is>
      </c>
      <c r="F20" s="29" t="inlineStr">
        <is>
          <t>Nguyễn Bảo An</t>
        </is>
      </c>
      <c r="G20" s="30" t="inlineStr">
        <is>
          <t>Máy mới clone về chạy đúng 6 lệnh: npm install → cp .env.example .env → npm run start:deps (docker: postgres + redis + maildev) → npm run db:migrate &amp;&amp; npm run db:seed → npm run dev:api (cổng 3000) → npm run dev:worker → npm run dev:audience-web (5173) / npm run dev:web (admin). Tài khoản demo đã seed: audience@ / organizer@ / staff@ / admin@ticketbox.test. Chứng minh chạy đầy đủ: (1) mở trang khán giả mua 1 vé end-to-end tới khi nhận e-ticket QR trong Maildev cổng 1080; (2) chạy các lệnh kiểm thử trong docs/submission-validation.md — nhóm đã chạy và pass 296/296 test cho các luồng trọng yếu (oversell, giới hạn vé, circuit breaker, idempotency, rate limit, cache, offline sync, AI bio, CSV, RBAC).</t>
        </is>
      </c>
      <c r="H20" s="31" t="inlineStr">
        <is>
          <t>Có</t>
        </is>
      </c>
      <c r="I20" s="84" t="n"/>
      <c r="J20" s="84" t="n"/>
      <c r="K20" s="84" t="n"/>
      <c r="L20" s="84" t="n"/>
      <c r="M20" s="84" t="n"/>
      <c r="N20" s="84" t="n"/>
      <c r="O20" s="84" t="n"/>
      <c r="P20" s="84" t="n"/>
      <c r="Q20" s="84" t="n"/>
    </row>
    <row r="21" ht="13.9" customHeight="1">
      <c r="A21" s="19" t="n">
        <v>16</v>
      </c>
      <c r="B21" s="12" t="inlineStr">
        <is>
          <t>SB01-SB05</t>
        </is>
      </c>
      <c r="C21" s="12" t="inlineStr">
        <is>
          <t>Nộp bài</t>
        </is>
      </c>
      <c r="D21" s="12" t="inlineStr">
        <is>
          <t>Mở Drive ở chế độ ẩn danh; chỉ ra Blueprint, src/data/README và clips.</t>
        </is>
      </c>
      <c r="E21" s="13" t="inlineStr">
        <is>
          <t>Google Drive nhóm; blueprint/ (design.md, proposal.md, specs/); README.md; clips/</t>
        </is>
      </c>
      <c r="F21" s="33" t="inlineStr">
        <is>
          <t>Phạm Quang Vinh</t>
        </is>
      </c>
      <c r="G21" s="34" t="inlineStr">
        <is>
          <t>CHƯA HOÀN THÀNH — nhóm cần làm trước khi nộp: (1) tạo thư mục Google Drive và bật quyền "Anyone with the link — Viewer", tự kiểm tra bằng cửa sổ ẩn danh trên máy khác; (2) xuất blueprint.pdf (hoặc copy nguyên thư mục blueprint/) lên Drive; (3) đưa src/ + data/ + README.md lên Drive; (4) quay video MP4 1080p ~720 kbps trong clips/ có camera thành viên và demo trực tiếp code/app; (5) tạo file text tên {mã-nhóm}_{mssv1}_{mssv2}_{mssv3}_{mssv4}.txt chứa link Drive public để nộp LMS. Khi vấn đáp: mở Drive ở chế độ ẩn danh ngay trước mặt thầy rồi chỉ lần lượt Blueprint, src/data/README và clips.</t>
        </is>
      </c>
      <c r="H21" s="35" t="inlineStr">
        <is>
          <t>Có</t>
        </is>
      </c>
      <c r="I21" s="84" t="n"/>
      <c r="J21" s="84" t="n"/>
      <c r="K21" s="84" t="n"/>
      <c r="L21" s="84" t="n"/>
      <c r="M21" s="84" t="n"/>
      <c r="N21" s="84" t="n"/>
      <c r="O21" s="84" t="n"/>
      <c r="P21" s="84" t="n"/>
      <c r="Q21" s="84" t="n"/>
    </row>
    <row r="22" ht="13.9" customHeight="1">
      <c r="A22" s="84" t="n"/>
      <c r="B22" s="84" t="n"/>
      <c r="C22" s="84" t="n"/>
      <c r="D22" s="84" t="n"/>
      <c r="E22" s="84" t="n"/>
      <c r="F22" s="84" t="n"/>
      <c r="G22" s="84" t="n"/>
      <c r="H22" s="84" t="n"/>
      <c r="I22" s="84" t="n"/>
      <c r="J22" s="84" t="n"/>
      <c r="K22" s="84" t="n"/>
      <c r="L22" s="84" t="n"/>
      <c r="M22" s="84" t="n"/>
      <c r="N22" s="84" t="n"/>
      <c r="O22" s="84" t="n"/>
      <c r="P22" s="84" t="n"/>
      <c r="Q22" s="84" t="n"/>
    </row>
    <row r="23" ht="13.9" customHeight="1">
      <c r="A23" s="84" t="n"/>
      <c r="B23" s="84" t="n"/>
      <c r="C23" s="84" t="n"/>
      <c r="D23" s="84" t="n"/>
      <c r="E23" s="84" t="n"/>
      <c r="F23" s="84" t="n"/>
      <c r="G23" s="84" t="n"/>
      <c r="H23" s="84" t="n"/>
      <c r="I23" s="84" t="n"/>
      <c r="J23" s="84" t="n"/>
      <c r="K23" s="84" t="n"/>
      <c r="L23" s="84" t="n"/>
      <c r="M23" s="84" t="n"/>
      <c r="N23" s="84" t="n"/>
      <c r="O23" s="84" t="n"/>
      <c r="P23" s="84" t="n"/>
      <c r="Q23" s="84" t="n"/>
    </row>
    <row r="24" ht="13.9" customHeight="1">
      <c r="A24" s="84" t="n"/>
      <c r="B24" s="84" t="n"/>
      <c r="C24" s="84" t="n"/>
      <c r="D24" s="84" t="n"/>
      <c r="E24" s="84" t="n"/>
      <c r="F24" s="84" t="n"/>
      <c r="G24" s="84" t="n"/>
      <c r="H24" s="84" t="n"/>
      <c r="I24" s="84" t="n"/>
      <c r="J24" s="84" t="n"/>
      <c r="K24" s="84" t="n"/>
      <c r="L24" s="84" t="n"/>
      <c r="M24" s="84" t="n"/>
      <c r="N24" s="84" t="n"/>
      <c r="O24" s="84" t="n"/>
      <c r="P24" s="84" t="n"/>
      <c r="Q24" s="84" t="n"/>
    </row>
    <row r="25" ht="13.9" customHeight="1">
      <c r="A25" s="84" t="n"/>
      <c r="B25" s="84" t="n"/>
      <c r="C25" s="84" t="n"/>
      <c r="D25" s="84" t="n"/>
      <c r="E25" s="84" t="n"/>
      <c r="F25" s="84" t="n"/>
      <c r="G25" s="84" t="n"/>
      <c r="H25" s="84" t="n"/>
      <c r="I25" s="84" t="n"/>
      <c r="J25" s="84" t="n"/>
      <c r="K25" s="84" t="n"/>
      <c r="L25" s="84" t="n"/>
      <c r="M25" s="84" t="n"/>
      <c r="N25" s="84" t="n"/>
      <c r="O25" s="84" t="n"/>
      <c r="P25" s="84" t="n"/>
      <c r="Q25" s="84" t="n"/>
    </row>
    <row r="26" ht="13.9" customHeight="1">
      <c r="A26" s="84" t="n"/>
      <c r="B26" s="84" t="n"/>
      <c r="C26" s="84" t="n"/>
      <c r="D26" s="84" t="n"/>
      <c r="E26" s="84" t="n"/>
      <c r="F26" s="84" t="n"/>
      <c r="G26" s="84" t="n"/>
      <c r="H26" s="84" t="n"/>
      <c r="I26" s="84" t="n"/>
      <c r="J26" s="84" t="n"/>
      <c r="K26" s="84" t="n"/>
      <c r="L26" s="84" t="n"/>
      <c r="M26" s="84" t="n"/>
      <c r="N26" s="84" t="n"/>
      <c r="O26" s="84" t="n"/>
      <c r="P26" s="84" t="n"/>
      <c r="Q26" s="84" t="n"/>
    </row>
    <row r="27" ht="13.9" customHeight="1">
      <c r="A27" s="84" t="n"/>
      <c r="B27" s="84" t="n"/>
      <c r="C27" s="84" t="n"/>
      <c r="D27" s="84" t="n"/>
      <c r="E27" s="84" t="n"/>
      <c r="F27" s="84" t="n"/>
      <c r="G27" s="84" t="n"/>
      <c r="H27" s="84" t="n"/>
      <c r="I27" s="84" t="n"/>
      <c r="J27" s="84" t="n"/>
      <c r="K27" s="84" t="n"/>
      <c r="L27" s="84" t="n"/>
      <c r="M27" s="84" t="n"/>
      <c r="N27" s="84" t="n"/>
      <c r="O27" s="84" t="n"/>
      <c r="P27" s="84" t="n"/>
      <c r="Q27" s="84" t="n"/>
    </row>
    <row r="28" ht="13.9" customHeight="1">
      <c r="A28" s="84" t="n"/>
      <c r="B28" s="84" t="n"/>
      <c r="C28" s="84" t="n"/>
      <c r="D28" s="84" t="n"/>
      <c r="E28" s="84" t="n"/>
      <c r="F28" s="84" t="n"/>
      <c r="G28" s="84" t="n"/>
      <c r="H28" s="84" t="n"/>
      <c r="I28" s="84" t="n"/>
      <c r="J28" s="84" t="n"/>
      <c r="K28" s="84" t="n"/>
      <c r="L28" s="84" t="n"/>
      <c r="M28" s="84" t="n"/>
      <c r="N28" s="84" t="n"/>
      <c r="O28" s="84" t="n"/>
      <c r="P28" s="84" t="n"/>
      <c r="Q28" s="84" t="n"/>
    </row>
    <row r="29" ht="13.9" customHeight="1">
      <c r="A29" s="84" t="n"/>
      <c r="B29" s="84" t="n"/>
      <c r="C29" s="84" t="n"/>
      <c r="D29" s="84" t="n"/>
      <c r="E29" s="84" t="n"/>
      <c r="F29" s="84" t="n"/>
      <c r="G29" s="84" t="n"/>
      <c r="H29" s="84" t="n"/>
      <c r="I29" s="84" t="n"/>
      <c r="J29" s="84" t="n"/>
      <c r="K29" s="84" t="n"/>
      <c r="L29" s="84" t="n"/>
      <c r="M29" s="84" t="n"/>
      <c r="N29" s="84" t="n"/>
      <c r="O29" s="84" t="n"/>
      <c r="P29" s="84" t="n"/>
      <c r="Q29" s="84" t="n"/>
    </row>
    <row r="30" ht="13.9" customHeight="1">
      <c r="A30" s="84" t="n"/>
      <c r="B30" s="84" t="n"/>
      <c r="C30" s="84" t="n"/>
      <c r="D30" s="84" t="n"/>
      <c r="E30" s="84" t="n"/>
      <c r="F30" s="84" t="n"/>
      <c r="G30" s="84" t="n"/>
      <c r="H30" s="84" t="n"/>
      <c r="I30" s="84" t="n"/>
      <c r="J30" s="84" t="n"/>
      <c r="K30" s="84" t="n"/>
      <c r="L30" s="84" t="n"/>
      <c r="M30" s="84" t="n"/>
      <c r="N30" s="84" t="n"/>
      <c r="O30" s="84" t="n"/>
      <c r="P30" s="84" t="n"/>
      <c r="Q30" s="84" t="n"/>
    </row>
    <row r="31" ht="13.9" customHeight="1">
      <c r="A31" s="84" t="n"/>
      <c r="B31" s="84" t="n"/>
      <c r="C31" s="84" t="n"/>
      <c r="D31" s="84" t="n"/>
      <c r="E31" s="84" t="n"/>
      <c r="F31" s="84" t="n"/>
      <c r="G31" s="84" t="n"/>
      <c r="H31" s="84" t="n"/>
      <c r="I31" s="84" t="n"/>
      <c r="J31" s="84" t="n"/>
      <c r="K31" s="84" t="n"/>
      <c r="L31" s="84" t="n"/>
      <c r="M31" s="84" t="n"/>
      <c r="N31" s="84" t="n"/>
      <c r="O31" s="84" t="n"/>
      <c r="P31" s="84" t="n"/>
      <c r="Q31" s="84" t="n"/>
    </row>
    <row r="32" ht="13.9" customHeight="1">
      <c r="A32" s="84" t="n"/>
      <c r="B32" s="84" t="n"/>
      <c r="C32" s="84" t="n"/>
      <c r="D32" s="84" t="n"/>
      <c r="E32" s="84" t="n"/>
      <c r="F32" s="84" t="n"/>
      <c r="G32" s="84" t="n"/>
      <c r="H32" s="84" t="n"/>
      <c r="I32" s="84" t="n"/>
      <c r="J32" s="84" t="n"/>
      <c r="K32" s="84" t="n"/>
      <c r="L32" s="84" t="n"/>
      <c r="M32" s="84" t="n"/>
      <c r="N32" s="84" t="n"/>
      <c r="O32" s="84" t="n"/>
      <c r="P32" s="84" t="n"/>
      <c r="Q32" s="84" t="n"/>
    </row>
    <row r="33" ht="13.9" customHeight="1">
      <c r="A33" s="84" t="n"/>
      <c r="B33" s="84" t="n"/>
      <c r="C33" s="84" t="n"/>
      <c r="D33" s="84" t="n"/>
      <c r="E33" s="84" t="n"/>
      <c r="F33" s="84" t="n"/>
      <c r="G33" s="84" t="n"/>
      <c r="H33" s="84" t="n"/>
      <c r="I33" s="84" t="n"/>
      <c r="J33" s="84" t="n"/>
      <c r="K33" s="84" t="n"/>
      <c r="L33" s="84" t="n"/>
      <c r="M33" s="84" t="n"/>
      <c r="N33" s="84" t="n"/>
      <c r="O33" s="84" t="n"/>
      <c r="P33" s="84" t="n"/>
      <c r="Q33" s="84" t="n"/>
    </row>
    <row r="34" ht="13.9" customHeight="1">
      <c r="A34" s="84" t="n"/>
      <c r="B34" s="84" t="n"/>
      <c r="C34" s="84" t="n"/>
      <c r="D34" s="84" t="n"/>
      <c r="E34" s="84" t="n"/>
      <c r="F34" s="84" t="n"/>
      <c r="G34" s="84" t="n"/>
      <c r="H34" s="84" t="n"/>
      <c r="I34" s="84" t="n"/>
      <c r="J34" s="84" t="n"/>
      <c r="K34" s="84" t="n"/>
      <c r="L34" s="84" t="n"/>
      <c r="M34" s="84" t="n"/>
      <c r="N34" s="84" t="n"/>
      <c r="O34" s="84" t="n"/>
      <c r="P34" s="84" t="n"/>
      <c r="Q34" s="84" t="n"/>
    </row>
    <row r="35" ht="13.9" customHeight="1">
      <c r="A35" s="84" t="n"/>
      <c r="B35" s="84" t="n"/>
      <c r="C35" s="84" t="n"/>
      <c r="D35" s="84" t="n"/>
      <c r="E35" s="84" t="n"/>
      <c r="F35" s="84" t="n"/>
      <c r="G35" s="84" t="n"/>
      <c r="H35" s="84" t="n"/>
      <c r="I35" s="84" t="n"/>
      <c r="J35" s="84" t="n"/>
      <c r="K35" s="84" t="n"/>
      <c r="L35" s="84" t="n"/>
      <c r="M35" s="84" t="n"/>
      <c r="N35" s="84" t="n"/>
      <c r="O35" s="84" t="n"/>
      <c r="P35" s="84" t="n"/>
      <c r="Q35" s="84" t="n"/>
    </row>
    <row r="36" ht="13.9" customHeight="1">
      <c r="A36" s="84" t="n"/>
      <c r="B36" s="84" t="n"/>
      <c r="C36" s="84" t="n"/>
      <c r="D36" s="84" t="n"/>
      <c r="E36" s="84" t="n"/>
      <c r="F36" s="84" t="n"/>
      <c r="G36" s="84" t="n"/>
      <c r="H36" s="84" t="n"/>
      <c r="I36" s="84" t="n"/>
      <c r="J36" s="84" t="n"/>
      <c r="K36" s="84" t="n"/>
      <c r="L36" s="84" t="n"/>
      <c r="M36" s="84" t="n"/>
      <c r="N36" s="84" t="n"/>
      <c r="O36" s="84" t="n"/>
      <c r="P36" s="84" t="n"/>
      <c r="Q36" s="84" t="n"/>
    </row>
    <row r="37" ht="13.9" customHeight="1">
      <c r="A37" s="84" t="n"/>
      <c r="B37" s="84" t="n"/>
      <c r="C37" s="84" t="n"/>
      <c r="D37" s="84" t="n"/>
      <c r="E37" s="84" t="n"/>
      <c r="F37" s="84" t="n"/>
      <c r="G37" s="84" t="n"/>
      <c r="H37" s="84" t="n"/>
      <c r="I37" s="84" t="n"/>
      <c r="J37" s="84" t="n"/>
      <c r="K37" s="84" t="n"/>
      <c r="L37" s="84" t="n"/>
      <c r="M37" s="84" t="n"/>
      <c r="N37" s="84" t="n"/>
      <c r="O37" s="84" t="n"/>
      <c r="P37" s="84" t="n"/>
      <c r="Q37" s="84" t="n"/>
    </row>
    <row r="38" ht="13.9" customHeight="1">
      <c r="A38" s="84" t="n"/>
      <c r="B38" s="84" t="n"/>
      <c r="C38" s="84" t="n"/>
      <c r="D38" s="84" t="n"/>
      <c r="E38" s="84" t="n"/>
      <c r="F38" s="84" t="n"/>
      <c r="G38" s="84" t="n"/>
      <c r="H38" s="84" t="n"/>
      <c r="I38" s="84" t="n"/>
      <c r="J38" s="84" t="n"/>
      <c r="K38" s="84" t="n"/>
      <c r="L38" s="84" t="n"/>
      <c r="M38" s="84" t="n"/>
      <c r="N38" s="84" t="n"/>
      <c r="O38" s="84" t="n"/>
      <c r="P38" s="84" t="n"/>
      <c r="Q38" s="84" t="n"/>
    </row>
    <row r="39" ht="13.9" customHeight="1">
      <c r="A39" s="84" t="n"/>
      <c r="B39" s="84" t="n"/>
      <c r="C39" s="84" t="n"/>
      <c r="D39" s="84" t="n"/>
      <c r="E39" s="84" t="n"/>
      <c r="F39" s="84" t="n"/>
      <c r="G39" s="84" t="n"/>
      <c r="H39" s="84" t="n"/>
      <c r="I39" s="84" t="n"/>
      <c r="J39" s="84" t="n"/>
      <c r="K39" s="84" t="n"/>
      <c r="L39" s="84" t="n"/>
      <c r="M39" s="84" t="n"/>
      <c r="N39" s="84" t="n"/>
      <c r="O39" s="84" t="n"/>
      <c r="P39" s="84" t="n"/>
      <c r="Q39" s="84" t="n"/>
    </row>
    <row r="40" ht="13.9" customHeight="1">
      <c r="A40" s="84" t="n"/>
      <c r="B40" s="84" t="n"/>
      <c r="C40" s="84" t="n"/>
      <c r="D40" s="84" t="n"/>
      <c r="E40" s="84" t="n"/>
      <c r="F40" s="84" t="n"/>
      <c r="G40" s="84" t="n"/>
      <c r="H40" s="84" t="n"/>
      <c r="I40" s="84" t="n"/>
      <c r="J40" s="84" t="n"/>
      <c r="K40" s="84" t="n"/>
      <c r="L40" s="84" t="n"/>
      <c r="M40" s="84" t="n"/>
      <c r="N40" s="84" t="n"/>
      <c r="O40" s="84" t="n"/>
      <c r="P40" s="84" t="n"/>
      <c r="Q40" s="84" t="n"/>
    </row>
    <row r="41" ht="13.9" customHeight="1">
      <c r="A41" s="84" t="n"/>
      <c r="B41" s="84" t="n"/>
      <c r="C41" s="84" t="n"/>
      <c r="D41" s="84" t="n"/>
      <c r="E41" s="84" t="n"/>
      <c r="F41" s="84" t="n"/>
      <c r="G41" s="84" t="n"/>
      <c r="H41" s="84" t="n"/>
      <c r="I41" s="84" t="n"/>
      <c r="J41" s="84" t="n"/>
      <c r="K41" s="84" t="n"/>
      <c r="L41" s="84" t="n"/>
      <c r="M41" s="84" t="n"/>
      <c r="N41" s="84" t="n"/>
      <c r="O41" s="84" t="n"/>
      <c r="P41" s="84" t="n"/>
      <c r="Q41" s="84" t="n"/>
    </row>
    <row r="42" ht="13.9" customHeight="1">
      <c r="A42" s="84" t="n"/>
      <c r="B42" s="84" t="n"/>
      <c r="C42" s="84" t="n"/>
      <c r="D42" s="84" t="n"/>
      <c r="E42" s="84" t="n"/>
      <c r="F42" s="84" t="n"/>
      <c r="G42" s="84" t="n"/>
      <c r="H42" s="84" t="n"/>
      <c r="I42" s="84" t="n"/>
      <c r="J42" s="84" t="n"/>
      <c r="K42" s="84" t="n"/>
      <c r="L42" s="84" t="n"/>
      <c r="M42" s="84" t="n"/>
      <c r="N42" s="84" t="n"/>
      <c r="O42" s="84" t="n"/>
      <c r="P42" s="84" t="n"/>
      <c r="Q42" s="84" t="n"/>
    </row>
    <row r="43" ht="13.9" customHeight="1">
      <c r="A43" s="84" t="n"/>
      <c r="B43" s="84" t="n"/>
      <c r="C43" s="84" t="n"/>
      <c r="D43" s="84" t="n"/>
      <c r="E43" s="84" t="n"/>
      <c r="F43" s="84" t="n"/>
      <c r="G43" s="84" t="n"/>
      <c r="H43" s="84" t="n"/>
      <c r="I43" s="84" t="n"/>
      <c r="J43" s="84" t="n"/>
      <c r="K43" s="84" t="n"/>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2">
    <mergeCell ref="A3:H3"/>
    <mergeCell ref="A1:H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Q200"/>
  <sheetViews>
    <sheetView workbookViewId="0">
      <selection activeCell="A1" sqref="A1"/>
    </sheetView>
  </sheetViews>
  <sheetFormatPr baseColWidth="8" defaultRowHeight="13.5"/>
  <cols>
    <col width="31" customWidth="1" min="1" max="1"/>
    <col width="16" customWidth="1" min="2" max="2"/>
    <col width="18" customWidth="1" min="3" max="7"/>
    <col width="13" customWidth="1" min="8" max="8"/>
    <col width="14" customWidth="1" min="9" max="9"/>
    <col width="15" customWidth="1" min="10" max="10"/>
    <col width="18" customWidth="1" min="11" max="11"/>
    <col width="17" customWidth="1" min="12" max="12"/>
    <col width="52" customWidth="1" min="13" max="13"/>
  </cols>
  <sheetData>
    <row r="1" ht="15" customHeight="1">
      <c r="A1" s="127" t="inlineStr">
        <is>
          <t>TỔNG HỢP ĐÓNG GÓP CÁ NHÂN — PHỤC VỤ GIẢNG VIÊN VẤN ĐÁP</t>
        </is>
      </c>
      <c r="N1" s="84" t="n"/>
      <c r="O1" s="84" t="n"/>
      <c r="P1" s="84" t="n"/>
      <c r="Q1" s="84" t="n"/>
    </row>
    <row r="2" ht="13.9" customHeight="1">
      <c r="A2" s="84" t="n"/>
      <c r="B2" s="84" t="n"/>
      <c r="C2" s="84" t="n"/>
      <c r="D2" s="84" t="n"/>
      <c r="E2" s="84" t="n"/>
      <c r="F2" s="84" t="n"/>
      <c r="G2" s="84" t="n"/>
      <c r="H2" s="84" t="n"/>
      <c r="I2" s="84" t="n"/>
      <c r="J2" s="84" t="n"/>
      <c r="K2" s="84" t="n"/>
      <c r="L2" s="84" t="n"/>
      <c r="M2" s="84" t="n"/>
      <c r="N2" s="84" t="n"/>
      <c r="O2" s="84" t="n"/>
      <c r="P2" s="84" t="n"/>
      <c r="Q2" s="84" t="n"/>
    </row>
    <row r="3" ht="19.05" customHeight="1">
      <c r="A3" s="131" t="inlineStr">
        <is>
          <t>Không sửa các ô màu xám. Phần bên dưới hiển thị rõ % hoàn thành đồ án theo checklist. Điểm/hệ số cá nhân chỉ là tín hiệu tham khảo; giảng viên quyết định sau khi kiểm tra minh chứng và vấn đáp.</t>
        </is>
      </c>
      <c r="N3" s="84" t="n"/>
      <c r="O3" s="84" t="n"/>
      <c r="P3" s="84" t="n"/>
      <c r="Q3" s="84" t="n"/>
    </row>
    <row r="4" ht="13.9" customHeight="1">
      <c r="A4" s="84" t="n"/>
      <c r="B4" s="84" t="n"/>
      <c r="C4" s="84" t="n"/>
      <c r="D4" s="84" t="n"/>
      <c r="E4" s="84" t="n"/>
      <c r="F4" s="84" t="n"/>
      <c r="G4" s="84" t="n"/>
      <c r="H4" s="84" t="n"/>
      <c r="I4" s="84" t="n"/>
      <c r="J4" s="84" t="n"/>
      <c r="K4" s="84" t="n"/>
      <c r="L4" s="84" t="n"/>
      <c r="M4" s="84" t="n"/>
      <c r="N4" s="84" t="n"/>
      <c r="O4" s="84" t="n"/>
      <c r="P4" s="84" t="n"/>
      <c r="Q4" s="84" t="n"/>
    </row>
    <row r="5" ht="13.9" customHeight="1">
      <c r="A5" s="2" t="inlineStr">
        <is>
          <t>STT</t>
        </is>
      </c>
      <c r="B5" s="3" t="inlineStr">
        <is>
          <t>Thành viên</t>
        </is>
      </c>
      <c r="C5" s="3" t="inlineStr">
        <is>
          <t>MSSV</t>
        </is>
      </c>
      <c r="D5" s="3" t="inlineStr">
        <is>
          <t>Số task</t>
        </is>
      </c>
      <c r="E5" s="3" t="inlineStr">
        <is>
          <t>Task chính</t>
        </is>
      </c>
      <c r="F5" s="3" t="inlineStr">
        <is>
          <t>Điểm công việc</t>
        </is>
      </c>
      <c r="G5" s="3" t="inlineStr">
        <is>
          <t>Tỷ trọng task</t>
        </is>
      </c>
      <c r="H5" s="3" t="inlineStr">
        <is>
          <t>Tự ĐG TB</t>
        </is>
      </c>
      <c r="I5" s="3" t="inlineStr">
        <is>
          <t>ĐG chéo TB</t>
        </is>
      </c>
      <c r="J5" s="3" t="inlineStr">
        <is>
          <t>Số minh chứng</t>
        </is>
      </c>
      <c r="K5" s="3" t="inlineStr">
        <is>
          <t>Yêu cầu làm owner</t>
        </is>
      </c>
      <c r="L5" s="3" t="inlineStr">
        <is>
          <t>Hệ số tham khảo</t>
        </is>
      </c>
      <c r="M5" s="4" t="inlineStr">
        <is>
          <t>Cảnh báo</t>
        </is>
      </c>
      <c r="N5" s="84" t="n"/>
      <c r="O5" s="84" t="n"/>
      <c r="P5" s="84" t="n"/>
      <c r="Q5" s="84" t="n"/>
    </row>
    <row r="6" ht="13.9" customHeight="1">
      <c r="A6" s="24" t="n">
        <v>1</v>
      </c>
      <c r="B6" s="52">
        <f>IF('01_ThongTinNhom'!B16="","",'01_ThongTinNhom'!B16)</f>
        <v/>
      </c>
      <c r="C6" s="53">
        <f>IF('01_ThongTinNhom'!C16="","",'01_ThongTinNhom'!C16)</f>
        <v/>
      </c>
      <c r="D6" s="53">
        <f>IF(B6="","",COUNTIF('03_PhanCongTask'!$F$6:$F$65,B6))</f>
        <v/>
      </c>
      <c r="E6" s="53">
        <f>IF(B6="","",COUNTIFS('03_PhanCongTask'!$F$6:$F$65,B6,'03_PhanCongTask'!$I$6:$I$65,"Chính"))</f>
        <v/>
      </c>
      <c r="F6" s="54">
        <f>IF(B6="","",SUMIF('03_PhanCongTask'!$F$6:$F$65,B6,'03_PhanCongTask'!$N$6:$N$65))</f>
        <v/>
      </c>
      <c r="G6" s="55">
        <f>IF(B6="","",IF(SUM($F$6:$F$9)=0,0,F6/SUM($F$6:$F$9)))</f>
        <v/>
      </c>
      <c r="H6" s="54">
        <f>IF(B6="","",IFERROR(AVERAGEIF('04_TuDanhGia'!$B$6:$B$9,B6,'04_TuDanhGia'!$L$6:$L$9),0))</f>
        <v/>
      </c>
      <c r="I6" s="54">
        <f>IF(B6="","",IFERROR(AVERAGEIF('05_DanhGiaCheo'!$C$6:$C$29,B6,'05_DanhGiaCheo'!$J$6:$J$29),0))</f>
        <v/>
      </c>
      <c r="J6" s="53">
        <f>IF(B6="","",COUNTIF('06_MinhChung_NopBai'!$D$6:$D$75,B6))</f>
        <v/>
      </c>
      <c r="K6" s="53">
        <f>IF(B6="","",COUNTIF('02_ChecklistYeuCau'!$F$6:$F$43,B6))</f>
        <v/>
      </c>
      <c r="L6" s="54">
        <f>IF(B6="","",IF(SUM($F$6:$F$9)=0,0,MIN(1.3,MAX(0.7,0.65*(G6/(1/MAX(1,COUNTIF('01_ThongTinNhom'!$B$16:$B$19,"&lt;&gt;"))))+0.2*(I6/5)+0.15*(H6/5)))))</f>
        <v/>
      </c>
      <c r="M6" s="56">
        <f>IF(B6="","",IF(D6=0,"Chưa khai task; ","")&amp;IF(J6=0,"Chưa có minh chứng; ","")&amp;IF(K6=0,"Chưa là owner yêu cầu; ","")&amp;IF(AND(G6&gt;0,G6&lt;0.15),"Tỷ trọng task thấp; ","")&amp;IF(I6=0,"Chưa được đánh giá chéo; ",""))</f>
        <v/>
      </c>
      <c r="N6" s="84" t="n"/>
      <c r="O6" s="84" t="n"/>
      <c r="P6" s="84" t="n"/>
      <c r="Q6" s="84" t="n"/>
    </row>
    <row r="7" ht="13.9" customHeight="1">
      <c r="A7" s="28" t="n">
        <v>2</v>
      </c>
      <c r="B7" s="57">
        <f>IF('01_ThongTinNhom'!B17="","",'01_ThongTinNhom'!B17)</f>
        <v/>
      </c>
      <c r="C7" s="58">
        <f>IF('01_ThongTinNhom'!C17="","",'01_ThongTinNhom'!C17)</f>
        <v/>
      </c>
      <c r="D7" s="58">
        <f>IF(B7="","",COUNTIF('03_PhanCongTask'!$F$6:$F$65,B7))</f>
        <v/>
      </c>
      <c r="E7" s="58">
        <f>IF(B7="","",COUNTIFS('03_PhanCongTask'!$F$6:$F$65,B7,'03_PhanCongTask'!$I$6:$I$65,"Chính"))</f>
        <v/>
      </c>
      <c r="F7" s="59">
        <f>IF(B7="","",SUMIF('03_PhanCongTask'!$F$6:$F$65,B7,'03_PhanCongTask'!$N$6:$N$65))</f>
        <v/>
      </c>
      <c r="G7" s="60">
        <f>IF(B7="","",IF(SUM($F$6:$F$9)=0,0,F7/SUM($F$6:$F$9)))</f>
        <v/>
      </c>
      <c r="H7" s="59">
        <f>IF(B7="","",IFERROR(AVERAGEIF('04_TuDanhGia'!$B$6:$B$9,B7,'04_TuDanhGia'!$L$6:$L$9),0))</f>
        <v/>
      </c>
      <c r="I7" s="59">
        <f>IF(B7="","",IFERROR(AVERAGEIF('05_DanhGiaCheo'!$C$6:$C$29,B7,'05_DanhGiaCheo'!$J$6:$J$29),0))</f>
        <v/>
      </c>
      <c r="J7" s="58">
        <f>IF(B7="","",COUNTIF('06_MinhChung_NopBai'!$D$6:$D$75,B7))</f>
        <v/>
      </c>
      <c r="K7" s="58">
        <f>IF(B7="","",COUNTIF('02_ChecklistYeuCau'!$F$6:$F$43,B7))</f>
        <v/>
      </c>
      <c r="L7" s="59">
        <f>IF(B7="","",IF(SUM($F$6:$F$9)=0,0,MIN(1.3,MAX(0.7,0.65*(G7/(1/MAX(1,COUNTIF('01_ThongTinNhom'!$B$16:$B$19,"&lt;&gt;"))))+0.2*(I7/5)+0.15*(H7/5)))))</f>
        <v/>
      </c>
      <c r="M7" s="61">
        <f>IF(B7="","",IF(D7=0,"Chưa khai task; ","")&amp;IF(J7=0,"Chưa có minh chứng; ","")&amp;IF(K7=0,"Chưa là owner yêu cầu; ","")&amp;IF(AND(G7&gt;0,G7&lt;0.15),"Tỷ trọng task thấp; ","")&amp;IF(I7=0,"Chưa được đánh giá chéo; ",""))</f>
        <v/>
      </c>
      <c r="N7" s="84" t="n"/>
      <c r="O7" s="84" t="n"/>
      <c r="P7" s="84" t="n"/>
      <c r="Q7" s="84" t="n"/>
    </row>
    <row r="8" ht="13.9" customHeight="1">
      <c r="A8" s="28" t="n">
        <v>3</v>
      </c>
      <c r="B8" s="57">
        <f>IF('01_ThongTinNhom'!B18="","",'01_ThongTinNhom'!B18)</f>
        <v/>
      </c>
      <c r="C8" s="58">
        <f>IF('01_ThongTinNhom'!C18="","",'01_ThongTinNhom'!C18)</f>
        <v/>
      </c>
      <c r="D8" s="58">
        <f>IF(B8="","",COUNTIF('03_PhanCongTask'!$F$6:$F$65,B8))</f>
        <v/>
      </c>
      <c r="E8" s="58">
        <f>IF(B8="","",COUNTIFS('03_PhanCongTask'!$F$6:$F$65,B8,'03_PhanCongTask'!$I$6:$I$65,"Chính"))</f>
        <v/>
      </c>
      <c r="F8" s="59">
        <f>IF(B8="","",SUMIF('03_PhanCongTask'!$F$6:$F$65,B8,'03_PhanCongTask'!$N$6:$N$65))</f>
        <v/>
      </c>
      <c r="G8" s="60">
        <f>IF(B8="","",IF(SUM($F$6:$F$9)=0,0,F8/SUM($F$6:$F$9)))</f>
        <v/>
      </c>
      <c r="H8" s="59">
        <f>IF(B8="","",IFERROR(AVERAGEIF('04_TuDanhGia'!$B$6:$B$9,B8,'04_TuDanhGia'!$L$6:$L$9),0))</f>
        <v/>
      </c>
      <c r="I8" s="59">
        <f>IF(B8="","",IFERROR(AVERAGEIF('05_DanhGiaCheo'!$C$6:$C$29,B8,'05_DanhGiaCheo'!$J$6:$J$29),0))</f>
        <v/>
      </c>
      <c r="J8" s="58">
        <f>IF(B8="","",COUNTIF('06_MinhChung_NopBai'!$D$6:$D$75,B8))</f>
        <v/>
      </c>
      <c r="K8" s="58">
        <f>IF(B8="","",COUNTIF('02_ChecklistYeuCau'!$F$6:$F$43,B8))</f>
        <v/>
      </c>
      <c r="L8" s="59">
        <f>IF(B8="","",IF(SUM($F$6:$F$9)=0,0,MIN(1.3,MAX(0.7,0.65*(G8/(1/MAX(1,COUNTIF('01_ThongTinNhom'!$B$16:$B$19,"&lt;&gt;"))))+0.2*(I8/5)+0.15*(H8/5)))))</f>
        <v/>
      </c>
      <c r="M8" s="61">
        <f>IF(B8="","",IF(D8=0,"Chưa khai task; ","")&amp;IF(J8=0,"Chưa có minh chứng; ","")&amp;IF(K8=0,"Chưa là owner yêu cầu; ","")&amp;IF(AND(G8&gt;0,G8&lt;0.15),"Tỷ trọng task thấp; ","")&amp;IF(I8=0,"Chưa được đánh giá chéo; ",""))</f>
        <v/>
      </c>
      <c r="N8" s="84" t="n"/>
      <c r="O8" s="84" t="n"/>
      <c r="P8" s="84" t="n"/>
      <c r="Q8" s="84" t="n"/>
    </row>
    <row r="9" ht="13.9" customHeight="1">
      <c r="A9" s="32" t="n">
        <v>4</v>
      </c>
      <c r="B9" s="62">
        <f>IF('01_ThongTinNhom'!B19="","",'01_ThongTinNhom'!B19)</f>
        <v/>
      </c>
      <c r="C9" s="63">
        <f>IF('01_ThongTinNhom'!C19="","",'01_ThongTinNhom'!C19)</f>
        <v/>
      </c>
      <c r="D9" s="63">
        <f>IF(B9="","",COUNTIF('03_PhanCongTask'!$F$6:$F$65,B9))</f>
        <v/>
      </c>
      <c r="E9" s="63">
        <f>IF(B9="","",COUNTIFS('03_PhanCongTask'!$F$6:$F$65,B9,'03_PhanCongTask'!$I$6:$I$65,"Chính"))</f>
        <v/>
      </c>
      <c r="F9" s="64">
        <f>IF(B9="","",SUMIF('03_PhanCongTask'!$F$6:$F$65,B9,'03_PhanCongTask'!$N$6:$N$65))</f>
        <v/>
      </c>
      <c r="G9" s="65">
        <f>IF(B9="","",IF(SUM($F$6:$F$9)=0,0,F9/SUM($F$6:$F$9)))</f>
        <v/>
      </c>
      <c r="H9" s="64">
        <f>IF(B9="","",IFERROR(AVERAGEIF('04_TuDanhGia'!$B$6:$B$9,B9,'04_TuDanhGia'!$L$6:$L$9),0))</f>
        <v/>
      </c>
      <c r="I9" s="64">
        <f>IF(B9="","",IFERROR(AVERAGEIF('05_DanhGiaCheo'!$C$6:$C$29,B9,'05_DanhGiaCheo'!$J$6:$J$29),0))</f>
        <v/>
      </c>
      <c r="J9" s="63">
        <f>IF(B9="","",COUNTIF('06_MinhChung_NopBai'!$D$6:$D$75,B9))</f>
        <v/>
      </c>
      <c r="K9" s="63">
        <f>IF(B9="","",COUNTIF('02_ChecklistYeuCau'!$F$6:$F$43,B9))</f>
        <v/>
      </c>
      <c r="L9" s="64">
        <f>IF(B9="","",IF(SUM($F$6:$F$9)=0,0,MIN(1.3,MAX(0.7,0.65*(G9/(1/MAX(1,COUNTIF('01_ThongTinNhom'!$B$16:$B$19,"&lt;&gt;"))))+0.2*(I9/5)+0.15*(H9/5)))))</f>
        <v/>
      </c>
      <c r="M9" s="66">
        <f>IF(B9="","",IF(D9=0,"Chưa khai task; ","")&amp;IF(J9=0,"Chưa có minh chứng; ","")&amp;IF(K9=0,"Chưa là owner yêu cầu; ","")&amp;IF(AND(G9&gt;0,G9&lt;0.15),"Tỷ trọng task thấp; ","")&amp;IF(I9=0,"Chưa được đánh giá chéo; ",""))</f>
        <v/>
      </c>
      <c r="N9" s="84" t="n"/>
      <c r="O9" s="84" t="n"/>
      <c r="P9" s="84" t="n"/>
      <c r="Q9" s="84" t="n"/>
    </row>
    <row r="10" ht="13.9" customHeight="1">
      <c r="A10" s="84" t="n"/>
      <c r="B10" s="84" t="n"/>
      <c r="C10" s="84" t="n"/>
      <c r="D10" s="84" t="n"/>
      <c r="E10" s="84" t="n"/>
      <c r="F10" s="84" t="n"/>
      <c r="G10" s="84" t="n"/>
      <c r="H10" s="84" t="n"/>
      <c r="I10" s="84" t="n"/>
      <c r="J10" s="84" t="n"/>
      <c r="K10" s="84" t="n"/>
      <c r="L10" s="84" t="n"/>
      <c r="M10" s="84" t="n"/>
      <c r="N10" s="84" t="n"/>
      <c r="O10" s="84" t="n"/>
      <c r="P10" s="84" t="n"/>
      <c r="Q10" s="84" t="n"/>
    </row>
    <row r="11" ht="13.9" customHeight="1">
      <c r="A11" s="84" t="n"/>
      <c r="B11" s="84" t="n"/>
      <c r="C11" s="84" t="n"/>
      <c r="D11" s="84" t="n"/>
      <c r="E11" s="84" t="n"/>
      <c r="F11" s="84" t="n"/>
      <c r="G11" s="84" t="n"/>
      <c r="H11" s="84" t="n"/>
      <c r="I11" s="84" t="n"/>
      <c r="J11" s="84" t="n"/>
      <c r="K11" s="84" t="n"/>
      <c r="L11" s="84" t="n"/>
      <c r="M11" s="84" t="n"/>
      <c r="N11" s="84" t="n"/>
      <c r="O11" s="84" t="n"/>
      <c r="P11" s="84" t="n"/>
      <c r="Q11" s="84" t="n"/>
    </row>
    <row r="12" ht="12" customHeight="1">
      <c r="A12" s="133" t="inlineStr">
        <is>
          <t>TIẾN ĐỘ ĐỒ ÁN</t>
        </is>
      </c>
      <c r="N12" s="84" t="n"/>
      <c r="O12" s="84" t="n"/>
      <c r="P12" s="84" t="n"/>
      <c r="Q12" s="84" t="n"/>
    </row>
    <row r="13" ht="13.9" customHeight="1">
      <c r="A13" s="134" t="inlineStr">
        <is>
          <t>TIẾN ĐỘ TỰ KHAI BÁO</t>
        </is>
      </c>
      <c r="D13" s="134" t="inlineStr">
        <is>
          <t>HOÀN THÀNH ĐỦ MINH CHỨNG</t>
        </is>
      </c>
      <c r="G13" s="84" t="n"/>
      <c r="H13" s="84" t="n"/>
      <c r="I13" s="84" t="n"/>
      <c r="J13" s="84" t="n"/>
      <c r="K13" s="84" t="n"/>
      <c r="L13" s="84" t="n"/>
      <c r="M13" s="84" t="n"/>
      <c r="N13" s="84" t="n"/>
      <c r="O13" s="84" t="n"/>
      <c r="P13" s="84" t="n"/>
      <c r="Q13" s="84" t="n"/>
    </row>
    <row r="14" ht="13.9" customHeight="1">
      <c r="A14" s="135">
        <f>IFERROR(SUMIFS('02_ChecklistYeuCau'!$H$6:$H$43,'02_ChecklistYeuCau'!$G$6:$G$43,"&lt;&gt;Không áp dụng")/COUNTIFS('02_ChecklistYeuCau'!$A$6:$A$43,"&lt;&gt;",'02_ChecklistYeuCau'!$G$6:$G$43,"&lt;&gt;Không áp dụng")/100,0)</f>
        <v/>
      </c>
      <c r="D14" s="136">
        <f>IFERROR(COUNTIFS('02_ChecklistYeuCau'!$G$6:$G$43,"Hoàn thành",'02_ChecklistYeuCau'!$J$6:$J$43,"Đạt",'02_ChecklistYeuCau'!$I$6:$I$43,"&lt;&gt;")/COUNTIFS('02_ChecklistYeuCau'!$A$6:$A$43,"&lt;&gt;",'02_ChecklistYeuCau'!$G$6:$G$43,"&lt;&gt;Không áp dụng"),0)</f>
        <v/>
      </c>
      <c r="G14" s="84" t="n"/>
      <c r="H14" s="84" t="n"/>
      <c r="I14" s="84" t="n"/>
      <c r="J14" s="84" t="n"/>
      <c r="K14" s="84" t="n"/>
      <c r="L14" s="84" t="n"/>
      <c r="M14" s="84" t="n"/>
      <c r="N14" s="84" t="n"/>
      <c r="O14" s="84" t="n"/>
      <c r="P14" s="84" t="n"/>
      <c r="Q14" s="84" t="n"/>
    </row>
    <row r="15" ht="13.9" customHeight="1">
      <c r="G15" s="84" t="n"/>
      <c r="H15" s="84" t="n"/>
      <c r="I15" s="84" t="n"/>
      <c r="J15" s="84" t="n"/>
      <c r="K15" s="84" t="n"/>
      <c r="L15" s="84" t="n"/>
      <c r="M15" s="84" t="n"/>
      <c r="N15" s="84" t="n"/>
      <c r="O15" s="84" t="n"/>
      <c r="P15" s="84" t="n"/>
      <c r="Q15" s="84" t="n"/>
    </row>
    <row r="16" ht="13.9" customHeight="1">
      <c r="G16" s="84" t="n"/>
      <c r="H16" s="84" t="n"/>
      <c r="I16" s="84" t="n"/>
      <c r="J16" s="84" t="n"/>
      <c r="K16" s="84" t="n"/>
      <c r="L16" s="84" t="n"/>
      <c r="M16" s="84" t="n"/>
      <c r="N16" s="84" t="n"/>
      <c r="O16" s="84" t="n"/>
      <c r="P16" s="84" t="n"/>
      <c r="Q16" s="84" t="n"/>
    </row>
    <row r="17" ht="13.9" customHeight="1">
      <c r="A17" s="32" t="n"/>
      <c r="B17" s="48" t="n"/>
      <c r="C17" s="32" t="n"/>
      <c r="D17" s="84" t="n"/>
      <c r="E17" s="84" t="n"/>
      <c r="F17" s="84" t="n"/>
      <c r="G17" s="84" t="n"/>
      <c r="H17" s="84" t="n"/>
      <c r="I17" s="84" t="n"/>
      <c r="J17" s="84" t="n"/>
      <c r="K17" s="84" t="n"/>
      <c r="L17" s="84" t="n"/>
      <c r="M17" s="84" t="n"/>
      <c r="N17" s="84" t="n"/>
      <c r="O17" s="84" t="n"/>
      <c r="P17" s="84" t="n"/>
      <c r="Q17" s="84" t="n"/>
    </row>
    <row r="18" ht="13.9" customHeight="1">
      <c r="A18" s="74" t="inlineStr">
        <is>
          <t>Chỉ số</t>
        </is>
      </c>
      <c r="B18" s="112" t="inlineStr">
        <is>
          <t>Kết quả</t>
        </is>
      </c>
      <c r="C18" s="113" t="inlineStr">
        <is>
          <t>Cách tính/ý nghĩa</t>
        </is>
      </c>
      <c r="H18" s="84" t="n"/>
      <c r="I18" s="84" t="n"/>
      <c r="J18" s="84" t="n"/>
      <c r="K18" s="84" t="n"/>
      <c r="L18" s="84" t="n"/>
      <c r="M18" s="84" t="n"/>
      <c r="N18" s="84" t="n"/>
      <c r="O18" s="84" t="n"/>
      <c r="P18" s="84" t="n"/>
      <c r="Q18" s="84" t="n"/>
    </row>
    <row r="19" ht="15" customHeight="1">
      <c r="A19" s="76" t="inlineStr">
        <is>
          <t>Tổng yêu cầu áp dụng</t>
        </is>
      </c>
      <c r="B19" s="77">
        <f>COUNTIFS('02_ChecklistYeuCau'!$A$6:$A$43,"&lt;&gt;",'02_ChecklistYeuCau'!$G$6:$G$43,"&lt;&gt;Không áp dụng")</f>
        <v/>
      </c>
      <c r="C19" s="137" t="inlineStr">
        <is>
          <t>Tổng số dòng yêu cầu, không tính mục được chọn “Không áp dụng”.</t>
        </is>
      </c>
      <c r="H19" s="84" t="n"/>
      <c r="I19" s="84" t="n"/>
      <c r="J19" s="84" t="n"/>
      <c r="K19" s="84" t="n"/>
      <c r="L19" s="84" t="n"/>
      <c r="M19" s="84" t="n"/>
      <c r="N19" s="84" t="n"/>
      <c r="O19" s="84" t="n"/>
      <c r="P19" s="84" t="n"/>
      <c r="Q19" s="84" t="n"/>
    </row>
    <row r="20" ht="15" customHeight="1">
      <c r="A20" s="78" t="inlineStr">
        <is>
          <t>Số yêu cầu hoàn thành 100%</t>
        </is>
      </c>
      <c r="B20" s="79">
        <f>COUNTIF('02_ChecklistYeuCau'!$G$6:$G$43,"Hoàn thành")</f>
        <v/>
      </c>
      <c r="C20" s="137" t="inlineStr">
        <is>
          <t>Số mục có trạng thái “Hoàn thành”.</t>
        </is>
      </c>
      <c r="H20" s="84" t="n"/>
      <c r="I20" s="84" t="n"/>
      <c r="J20" s="84" t="n"/>
      <c r="K20" s="84" t="n"/>
      <c r="L20" s="84" t="n"/>
      <c r="M20" s="84" t="n"/>
      <c r="N20" s="84" t="n"/>
      <c r="O20" s="84" t="n"/>
      <c r="P20" s="84" t="n"/>
      <c r="Q20" s="84" t="n"/>
    </row>
    <row r="21" ht="15" customHeight="1">
      <c r="A21" s="78" t="inlineStr">
        <is>
          <t>Tỷ lệ yêu cầu hoàn thành 100%</t>
        </is>
      </c>
      <c r="B21" s="80">
        <f>IFERROR(B20/B19,0)</f>
        <v/>
      </c>
      <c r="C21" s="137" t="inlineStr">
        <is>
          <t>Số mục “Hoàn thành” chia tổng yêu cầu áp dụng.</t>
        </is>
      </c>
      <c r="H21" s="84" t="n"/>
      <c r="I21" s="84" t="n"/>
      <c r="J21" s="84" t="n"/>
      <c r="K21" s="84" t="n"/>
      <c r="L21" s="84" t="n"/>
      <c r="M21" s="84" t="n"/>
      <c r="N21" s="84" t="n"/>
      <c r="O21" s="84" t="n"/>
      <c r="P21" s="84" t="n"/>
      <c r="Q21" s="84" t="n"/>
    </row>
    <row r="22" ht="15" customHeight="1">
      <c r="A22" s="78" t="inlineStr">
        <is>
          <t>Tỷ lệ tự kiểm tra đạt</t>
        </is>
      </c>
      <c r="B22" s="80">
        <f>IFERROR(COUNTIFS('02_ChecklistYeuCau'!$J$6:$J$43,"Đạt",'02_ChecklistYeuCau'!$G$6:$G$43,"&lt;&gt;Không áp dụng")/B19,0)</f>
        <v/>
      </c>
      <c r="C22" s="137" t="inlineStr">
        <is>
          <t>Số mục có kết quả tự kiểm tra “Đạt” chia tổng yêu cầu áp dụng.</t>
        </is>
      </c>
      <c r="H22" s="84" t="n"/>
      <c r="I22" s="84" t="n"/>
      <c r="J22" s="84" t="n"/>
      <c r="K22" s="84" t="n"/>
      <c r="L22" s="84" t="n"/>
      <c r="M22" s="84" t="n"/>
      <c r="N22" s="84" t="n"/>
      <c r="O22" s="84" t="n"/>
      <c r="P22" s="84" t="n"/>
      <c r="Q22" s="84" t="n"/>
    </row>
    <row r="23" ht="15" customHeight="1">
      <c r="A23" s="78" t="inlineStr">
        <is>
          <t>Tỷ lệ có minh chứng</t>
        </is>
      </c>
      <c r="B23" s="80">
        <f>IFERROR(COUNTIFS('02_ChecklistYeuCau'!$I$6:$I$43,"&lt;&gt;",'02_ChecklistYeuCau'!$G$6:$G$43,"&lt;&gt;Không áp dụng")/B19,0)</f>
        <v/>
      </c>
      <c r="C23" s="137" t="inlineStr">
        <is>
          <t>Số mục có link/path minh chứng chia tổng yêu cầu áp dụng.</t>
        </is>
      </c>
      <c r="H23" s="84" t="n"/>
      <c r="I23" s="84" t="n"/>
      <c r="J23" s="84" t="n"/>
      <c r="K23" s="84" t="n"/>
      <c r="L23" s="84" t="n"/>
      <c r="M23" s="84" t="n"/>
      <c r="N23" s="84" t="n"/>
      <c r="O23" s="84" t="n"/>
      <c r="P23" s="84" t="n"/>
      <c r="Q23" s="84" t="n"/>
    </row>
    <row r="24" ht="15" customHeight="1">
      <c r="A24" s="78" t="inlineStr">
        <is>
          <t>Tỷ lệ hoàn thành đủ minh chứng</t>
        </is>
      </c>
      <c r="B24" s="80">
        <f>D14</f>
        <v/>
      </c>
      <c r="C24" s="137" t="inlineStr">
        <is>
          <t>Chỉ tính mục đồng thời: Hoàn thành + Đạt + có minh chứng.</t>
        </is>
      </c>
      <c r="H24" s="84" t="n"/>
      <c r="I24" s="84" t="n"/>
      <c r="J24" s="84" t="n"/>
      <c r="K24" s="84" t="n"/>
      <c r="L24" s="84" t="n"/>
      <c r="M24" s="84" t="n"/>
      <c r="N24" s="84" t="n"/>
      <c r="O24" s="84" t="n"/>
      <c r="P24" s="84" t="n"/>
      <c r="Q24" s="84" t="n"/>
    </row>
    <row r="25" ht="15" customHeight="1">
      <c r="A25" s="78" t="inlineStr">
        <is>
          <t>Số yêu cầu chưa hoàn thành</t>
        </is>
      </c>
      <c r="B25" s="79">
        <f>MAX(B19-B20,0)</f>
        <v/>
      </c>
      <c r="C25" s="137" t="inlineStr">
        <is>
          <t>Các yêu cầu áp dụng nhưng chưa có trạng thái “Hoàn thành”.</t>
        </is>
      </c>
      <c r="H25" s="84" t="n"/>
      <c r="I25" s="84" t="n"/>
      <c r="J25" s="84" t="n"/>
      <c r="K25" s="84" t="n"/>
      <c r="L25" s="84" t="n"/>
      <c r="M25" s="84" t="n"/>
      <c r="N25" s="84" t="n"/>
      <c r="O25" s="84" t="n"/>
      <c r="P25" s="84" t="n"/>
      <c r="Q25" s="84" t="n"/>
    </row>
    <row r="26" ht="15" customHeight="1">
      <c r="A26" s="81" t="inlineStr">
        <is>
          <t>Số mục không áp dụng</t>
        </is>
      </c>
      <c r="B26" s="82">
        <f>COUNTIF('02_ChecklistYeuCau'!$G$6:$G$43,"Không áp dụng")</f>
        <v/>
      </c>
      <c r="C26" s="137" t="inlineStr">
        <is>
          <t>Các mục được nhóm xác định không áp dụng; tự động loại khỏi mẫu số.</t>
        </is>
      </c>
      <c r="H26" s="84" t="n"/>
      <c r="I26" s="84" t="n"/>
      <c r="J26" s="84" t="n"/>
      <c r="K26" s="84" t="n"/>
      <c r="L26" s="84" t="n"/>
      <c r="M26" s="84" t="n"/>
      <c r="N26" s="84" t="n"/>
      <c r="O26" s="84" t="n"/>
      <c r="P26" s="84" t="n"/>
      <c r="Q26" s="84" t="n"/>
    </row>
    <row r="27" ht="13.9" customHeight="1">
      <c r="A27" s="84" t="n"/>
      <c r="B27" s="84" t="n"/>
      <c r="C27" s="84" t="n"/>
      <c r="D27" s="84" t="n"/>
      <c r="E27" s="84" t="n"/>
      <c r="F27" s="84" t="n"/>
      <c r="G27" s="84" t="n"/>
      <c r="H27" s="84" t="n"/>
      <c r="I27" s="84" t="n"/>
      <c r="J27" s="84" t="n"/>
      <c r="K27" s="84" t="n"/>
      <c r="L27" s="84" t="n"/>
      <c r="M27" s="84" t="n"/>
      <c r="N27" s="84" t="n"/>
      <c r="O27" s="84" t="n"/>
      <c r="P27" s="84" t="n"/>
      <c r="Q27" s="84" t="n"/>
    </row>
    <row r="28" ht="21" customHeight="1">
      <c r="A28" s="138" t="inlineStr">
        <is>
          <t>Cách đọc: “Tiến độ tự khai báo” phản ánh mức hoàn thành trung bình do nhóm nhập ở cột % HT. Giảng viên nên ưu tiên “Hoàn thành đủ minh chứng” vì chỉ tính các yêu cầu đã hoàn thành, tự kiểm tra đạt và có minh chứng để mở khi vấn đáp.</t>
        </is>
      </c>
      <c r="H28" s="84" t="n"/>
      <c r="I28" s="84" t="n"/>
      <c r="J28" s="84" t="n"/>
      <c r="K28" s="84" t="n"/>
      <c r="L28" s="84" t="n"/>
      <c r="M28" s="84" t="n"/>
      <c r="N28" s="84" t="n"/>
      <c r="O28" s="84" t="n"/>
      <c r="P28" s="84" t="n"/>
      <c r="Q28" s="84" t="n"/>
    </row>
    <row r="29" ht="13.9" customHeight="1">
      <c r="H29" s="84" t="n"/>
      <c r="I29" s="84" t="n"/>
      <c r="J29" s="84" t="n"/>
      <c r="K29" s="84" t="n"/>
      <c r="L29" s="84" t="n"/>
      <c r="M29" s="84" t="n"/>
      <c r="N29" s="84" t="n"/>
      <c r="O29" s="84" t="n"/>
      <c r="P29" s="84" t="n"/>
      <c r="Q29" s="84" t="n"/>
    </row>
    <row r="30" ht="13.9" customHeight="1">
      <c r="A30" s="84" t="n"/>
      <c r="B30" s="84" t="n"/>
      <c r="C30" s="84" t="n"/>
      <c r="D30" s="84" t="n"/>
      <c r="E30" s="84" t="n"/>
      <c r="F30" s="84" t="n"/>
      <c r="G30" s="84" t="n"/>
      <c r="H30" s="84" t="n"/>
      <c r="I30" s="84" t="n"/>
      <c r="J30" s="84" t="n"/>
      <c r="K30" s="84" t="n"/>
      <c r="L30" s="84" t="n"/>
      <c r="M30" s="84" t="n"/>
      <c r="N30" s="84" t="n"/>
      <c r="O30" s="84" t="n"/>
      <c r="P30" s="84" t="n"/>
      <c r="Q30" s="84" t="n"/>
    </row>
    <row r="31" ht="13.9" customHeight="1">
      <c r="A31" s="84" t="n"/>
      <c r="B31" s="84" t="n"/>
      <c r="C31" s="84" t="n"/>
      <c r="D31" s="84" t="n"/>
      <c r="E31" s="84" t="n"/>
      <c r="F31" s="84" t="n"/>
      <c r="G31" s="84" t="n"/>
      <c r="H31" s="84" t="n"/>
      <c r="I31" s="84" t="n"/>
      <c r="J31" s="84" t="n"/>
      <c r="K31" s="84" t="n"/>
      <c r="L31" s="84" t="n"/>
      <c r="M31" s="84" t="n"/>
      <c r="N31" s="84" t="n"/>
      <c r="O31" s="84" t="n"/>
      <c r="P31" s="84" t="n"/>
      <c r="Q31" s="84" t="n"/>
    </row>
    <row r="32" ht="13.9" customHeight="1">
      <c r="A32" s="84" t="n"/>
      <c r="B32" s="84" t="n"/>
      <c r="C32" s="84" t="n"/>
      <c r="D32" s="84" t="n"/>
      <c r="E32" s="84" t="n"/>
      <c r="F32" s="84" t="n"/>
      <c r="G32" s="84" t="n"/>
      <c r="H32" s="84" t="n"/>
      <c r="I32" s="84" t="n"/>
      <c r="J32" s="84" t="n"/>
      <c r="K32" s="84" t="n"/>
      <c r="L32" s="84" t="n"/>
      <c r="M32" s="84" t="n"/>
      <c r="N32" s="84" t="n"/>
      <c r="O32" s="84" t="n"/>
      <c r="P32" s="84" t="n"/>
      <c r="Q32" s="84" t="n"/>
    </row>
    <row r="33" ht="13.9" customHeight="1">
      <c r="A33" s="84" t="n"/>
      <c r="B33" s="84" t="n"/>
      <c r="C33" s="84" t="n"/>
      <c r="D33" s="84" t="n"/>
      <c r="E33" s="84" t="n"/>
      <c r="F33" s="84" t="n"/>
      <c r="G33" s="84" t="n"/>
      <c r="H33" s="84" t="n"/>
      <c r="I33" s="84" t="n"/>
      <c r="J33" s="84" t="n"/>
      <c r="K33" s="84" t="n"/>
      <c r="L33" s="84" t="n"/>
      <c r="M33" s="84" t="n"/>
      <c r="N33" s="84" t="n"/>
      <c r="O33" s="84" t="n"/>
      <c r="P33" s="84" t="n"/>
      <c r="Q33" s="84" t="n"/>
    </row>
    <row r="34" ht="13.9" customHeight="1">
      <c r="A34" s="84" t="n"/>
      <c r="B34" s="84" t="n"/>
      <c r="C34" s="84" t="n"/>
      <c r="D34" s="84" t="n"/>
      <c r="E34" s="84" t="n"/>
      <c r="F34" s="84" t="n"/>
      <c r="G34" s="84" t="n"/>
      <c r="H34" s="84" t="n"/>
      <c r="I34" s="84" t="n"/>
      <c r="J34" s="84" t="n"/>
      <c r="K34" s="84" t="n"/>
      <c r="L34" s="84" t="n"/>
      <c r="M34" s="84" t="n"/>
      <c r="N34" s="84" t="n"/>
      <c r="O34" s="84" t="n"/>
      <c r="P34" s="84" t="n"/>
      <c r="Q34" s="84" t="n"/>
    </row>
    <row r="35" ht="13.9" customHeight="1">
      <c r="A35" s="84" t="n"/>
      <c r="B35" s="84" t="n"/>
      <c r="C35" s="84" t="n"/>
      <c r="D35" s="84" t="n"/>
      <c r="E35" s="84" t="n"/>
      <c r="F35" s="84" t="n"/>
      <c r="G35" s="84" t="n"/>
      <c r="H35" s="84" t="n"/>
      <c r="I35" s="84" t="n"/>
      <c r="J35" s="84" t="n"/>
      <c r="K35" s="84" t="n"/>
      <c r="L35" s="84" t="n"/>
      <c r="M35" s="84" t="n"/>
      <c r="N35" s="84" t="n"/>
      <c r="O35" s="84" t="n"/>
      <c r="P35" s="84" t="n"/>
      <c r="Q35" s="84" t="n"/>
    </row>
    <row r="36" ht="13.9" customHeight="1">
      <c r="A36" s="84" t="n"/>
      <c r="B36" s="84" t="n"/>
      <c r="C36" s="84" t="n"/>
      <c r="D36" s="84" t="n"/>
      <c r="E36" s="84" t="n"/>
      <c r="F36" s="84" t="n"/>
      <c r="G36" s="84" t="n"/>
      <c r="H36" s="84" t="n"/>
      <c r="I36" s="84" t="n"/>
      <c r="J36" s="84" t="n"/>
      <c r="K36" s="84" t="n"/>
      <c r="L36" s="84" t="n"/>
      <c r="M36" s="84" t="n"/>
      <c r="N36" s="84" t="n"/>
      <c r="O36" s="84" t="n"/>
      <c r="P36" s="84" t="n"/>
      <c r="Q36" s="84" t="n"/>
    </row>
    <row r="37" ht="13.9" customHeight="1">
      <c r="A37" s="84" t="n"/>
      <c r="B37" s="84" t="n"/>
      <c r="C37" s="84" t="n"/>
      <c r="D37" s="84" t="n"/>
      <c r="E37" s="84" t="n"/>
      <c r="F37" s="84" t="n"/>
      <c r="G37" s="84" t="n"/>
      <c r="H37" s="84" t="n"/>
      <c r="I37" s="84" t="n"/>
      <c r="J37" s="84" t="n"/>
      <c r="K37" s="84" t="n"/>
      <c r="L37" s="84" t="n"/>
      <c r="M37" s="84" t="n"/>
      <c r="N37" s="84" t="n"/>
      <c r="O37" s="84" t="n"/>
      <c r="P37" s="84" t="n"/>
      <c r="Q37" s="84" t="n"/>
    </row>
    <row r="38" ht="13.9" customHeight="1">
      <c r="A38" s="84" t="n"/>
      <c r="B38" s="84" t="n"/>
      <c r="C38" s="84" t="n"/>
      <c r="D38" s="84" t="n"/>
      <c r="E38" s="84" t="n"/>
      <c r="F38" s="84" t="n"/>
      <c r="G38" s="84" t="n"/>
      <c r="H38" s="84" t="n"/>
      <c r="I38" s="84" t="n"/>
      <c r="J38" s="84" t="n"/>
      <c r="K38" s="84" t="n"/>
      <c r="L38" s="84" t="n"/>
      <c r="M38" s="84" t="n"/>
      <c r="N38" s="84" t="n"/>
      <c r="O38" s="84" t="n"/>
      <c r="P38" s="84" t="n"/>
      <c r="Q38" s="84" t="n"/>
    </row>
    <row r="39" ht="13.9" customHeight="1">
      <c r="A39" s="84" t="n"/>
      <c r="B39" s="84" t="n"/>
      <c r="C39" s="84" t="n"/>
      <c r="D39" s="84" t="n"/>
      <c r="E39" s="84" t="n"/>
      <c r="F39" s="84" t="n"/>
      <c r="G39" s="84" t="n"/>
      <c r="H39" s="84" t="n"/>
      <c r="I39" s="84" t="n"/>
      <c r="J39" s="84" t="n"/>
      <c r="K39" s="84" t="n"/>
      <c r="L39" s="84" t="n"/>
      <c r="M39" s="84" t="n"/>
      <c r="N39" s="84" t="n"/>
      <c r="O39" s="84" t="n"/>
      <c r="P39" s="84" t="n"/>
      <c r="Q39" s="84" t="n"/>
    </row>
    <row r="40" ht="13.9" customHeight="1">
      <c r="A40" s="84" t="n"/>
      <c r="B40" s="84" t="n"/>
      <c r="C40" s="84" t="n"/>
      <c r="D40" s="84" t="n"/>
      <c r="E40" s="84" t="n"/>
      <c r="F40" s="84" t="n"/>
      <c r="G40" s="84" t="n"/>
      <c r="H40" s="84" t="n"/>
      <c r="I40" s="84" t="n"/>
      <c r="J40" s="84" t="n"/>
      <c r="K40" s="84" t="n"/>
      <c r="L40" s="84" t="n"/>
      <c r="M40" s="84" t="n"/>
      <c r="N40" s="84" t="n"/>
      <c r="O40" s="84" t="n"/>
      <c r="P40" s="84" t="n"/>
      <c r="Q40" s="84" t="n"/>
    </row>
    <row r="41" ht="13.9" customHeight="1">
      <c r="A41" s="84" t="n"/>
      <c r="B41" s="84" t="n"/>
      <c r="C41" s="84" t="n"/>
      <c r="D41" s="84" t="n"/>
      <c r="E41" s="84" t="n"/>
      <c r="F41" s="84" t="n"/>
      <c r="G41" s="84" t="n"/>
      <c r="H41" s="84" t="n"/>
      <c r="I41" s="84" t="n"/>
      <c r="J41" s="84" t="n"/>
      <c r="K41" s="84" t="n"/>
      <c r="L41" s="84" t="n"/>
      <c r="M41" s="84" t="n"/>
      <c r="N41" s="84" t="n"/>
      <c r="O41" s="84" t="n"/>
      <c r="P41" s="84" t="n"/>
      <c r="Q41" s="84" t="n"/>
    </row>
    <row r="42" ht="13.9" customHeight="1">
      <c r="A42" s="84" t="n"/>
      <c r="B42" s="84" t="n"/>
      <c r="C42" s="84" t="n"/>
      <c r="D42" s="84" t="n"/>
      <c r="E42" s="84" t="n"/>
      <c r="F42" s="84" t="n"/>
      <c r="G42" s="84" t="n"/>
      <c r="H42" s="84" t="n"/>
      <c r="I42" s="84" t="n"/>
      <c r="J42" s="84" t="n"/>
      <c r="K42" s="84" t="n"/>
      <c r="L42" s="84" t="n"/>
      <c r="M42" s="84" t="n"/>
      <c r="N42" s="84" t="n"/>
      <c r="O42" s="84" t="n"/>
      <c r="P42" s="84" t="n"/>
      <c r="Q42" s="84" t="n"/>
    </row>
    <row r="43" ht="13.9" customHeight="1">
      <c r="A43" s="84" t="n"/>
      <c r="B43" s="84" t="n"/>
      <c r="C43" s="84" t="n"/>
      <c r="D43" s="84" t="n"/>
      <c r="E43" s="84" t="n"/>
      <c r="F43" s="84" t="n"/>
      <c r="G43" s="84" t="n"/>
      <c r="H43" s="84" t="n"/>
      <c r="I43" s="84" t="n"/>
      <c r="J43" s="84" t="n"/>
      <c r="K43" s="84" t="n"/>
      <c r="L43" s="84" t="n"/>
      <c r="M43" s="84" t="n"/>
      <c r="N43" s="84" t="n"/>
      <c r="O43" s="84" t="n"/>
      <c r="P43" s="84" t="n"/>
      <c r="Q43" s="84" t="n"/>
    </row>
    <row r="44" ht="13.9" customHeight="1">
      <c r="A44" s="84" t="n"/>
      <c r="B44" s="84" t="n"/>
      <c r="C44" s="84" t="n"/>
      <c r="D44" s="84" t="n"/>
      <c r="E44" s="84" t="n"/>
      <c r="F44" s="84" t="n"/>
      <c r="G44" s="84" t="n"/>
      <c r="H44" s="84" t="n"/>
      <c r="I44" s="84" t="n"/>
      <c r="J44" s="84" t="n"/>
      <c r="K44" s="84" t="n"/>
      <c r="L44" s="84" t="n"/>
      <c r="M44" s="84" t="n"/>
      <c r="N44" s="84" t="n"/>
      <c r="O44" s="84" t="n"/>
      <c r="P44" s="84" t="n"/>
      <c r="Q44" s="84" t="n"/>
    </row>
    <row r="45" ht="13.9" customHeight="1">
      <c r="A45" s="84" t="n"/>
      <c r="B45" s="84" t="n"/>
      <c r="C45" s="84" t="n"/>
      <c r="D45" s="84" t="n"/>
      <c r="E45" s="84" t="n"/>
      <c r="F45" s="84" t="n"/>
      <c r="G45" s="84" t="n"/>
      <c r="H45" s="84" t="n"/>
      <c r="I45" s="84" t="n"/>
      <c r="J45" s="84" t="n"/>
      <c r="K45" s="84" t="n"/>
      <c r="L45" s="84" t="n"/>
      <c r="M45" s="84" t="n"/>
      <c r="N45" s="84" t="n"/>
      <c r="O45" s="84" t="n"/>
      <c r="P45" s="84" t="n"/>
      <c r="Q45" s="84" t="n"/>
    </row>
    <row r="46" ht="13.9" customHeight="1">
      <c r="A46" s="84" t="n"/>
      <c r="B46" s="84" t="n"/>
      <c r="C46" s="84" t="n"/>
      <c r="D46" s="84" t="n"/>
      <c r="E46" s="84" t="n"/>
      <c r="F46" s="84" t="n"/>
      <c r="G46" s="84" t="n"/>
      <c r="H46" s="84" t="n"/>
      <c r="I46" s="84" t="n"/>
      <c r="J46" s="84" t="n"/>
      <c r="K46" s="84" t="n"/>
      <c r="L46" s="84" t="n"/>
      <c r="M46" s="84" t="n"/>
      <c r="N46" s="84" t="n"/>
      <c r="O46" s="84" t="n"/>
      <c r="P46" s="84" t="n"/>
      <c r="Q46" s="84" t="n"/>
    </row>
    <row r="47" ht="13.9" customHeight="1">
      <c r="A47" s="84" t="n"/>
      <c r="B47" s="84" t="n"/>
      <c r="C47" s="84" t="n"/>
      <c r="D47" s="84" t="n"/>
      <c r="E47" s="84" t="n"/>
      <c r="F47" s="84" t="n"/>
      <c r="G47" s="84" t="n"/>
      <c r="H47" s="84" t="n"/>
      <c r="I47" s="84" t="n"/>
      <c r="J47" s="84" t="n"/>
      <c r="K47" s="84" t="n"/>
      <c r="L47" s="84" t="n"/>
      <c r="M47" s="84" t="n"/>
      <c r="N47" s="84" t="n"/>
      <c r="O47" s="84" t="n"/>
      <c r="P47" s="84" t="n"/>
      <c r="Q47" s="84" t="n"/>
    </row>
    <row r="48" ht="13.9" customHeight="1">
      <c r="A48" s="84" t="n"/>
      <c r="B48" s="84" t="n"/>
      <c r="C48" s="84" t="n"/>
      <c r="D48" s="84" t="n"/>
      <c r="E48" s="84" t="n"/>
      <c r="F48" s="84" t="n"/>
      <c r="G48" s="84" t="n"/>
      <c r="H48" s="84" t="n"/>
      <c r="I48" s="84" t="n"/>
      <c r="J48" s="84" t="n"/>
      <c r="K48" s="84" t="n"/>
      <c r="L48" s="84" t="n"/>
      <c r="M48" s="84" t="n"/>
      <c r="N48" s="84" t="n"/>
      <c r="O48" s="84" t="n"/>
      <c r="P48" s="84" t="n"/>
      <c r="Q48" s="84" t="n"/>
    </row>
    <row r="49" ht="13.9" customHeight="1">
      <c r="A49" s="84" t="n"/>
      <c r="B49" s="84" t="n"/>
      <c r="C49" s="84" t="n"/>
      <c r="D49" s="84" t="n"/>
      <c r="E49" s="84" t="n"/>
      <c r="F49" s="84" t="n"/>
      <c r="G49" s="84" t="n"/>
      <c r="H49" s="84" t="n"/>
      <c r="I49" s="84" t="n"/>
      <c r="J49" s="84" t="n"/>
      <c r="K49" s="84" t="n"/>
      <c r="L49" s="84" t="n"/>
      <c r="M49" s="84" t="n"/>
      <c r="N49" s="84" t="n"/>
      <c r="O49" s="84" t="n"/>
      <c r="P49" s="84" t="n"/>
      <c r="Q49" s="84" t="n"/>
    </row>
    <row r="50" ht="13.9" customHeight="1">
      <c r="A50" s="84" t="n"/>
      <c r="B50" s="84" t="n"/>
      <c r="C50" s="84" t="n"/>
      <c r="D50" s="84" t="n"/>
      <c r="E50" s="84" t="n"/>
      <c r="F50" s="84" t="n"/>
      <c r="G50" s="84" t="n"/>
      <c r="H50" s="84" t="n"/>
      <c r="I50" s="84" t="n"/>
      <c r="J50" s="84" t="n"/>
      <c r="K50" s="84" t="n"/>
      <c r="L50" s="84" t="n"/>
      <c r="M50" s="84" t="n"/>
      <c r="N50" s="84" t="n"/>
      <c r="O50" s="84" t="n"/>
      <c r="P50" s="84" t="n"/>
      <c r="Q50" s="84" t="n"/>
    </row>
    <row r="51" ht="13.9" customHeight="1">
      <c r="A51" s="84" t="n"/>
      <c r="B51" s="84" t="n"/>
      <c r="C51" s="84" t="n"/>
      <c r="D51" s="84" t="n"/>
      <c r="E51" s="84" t="n"/>
      <c r="F51" s="84" t="n"/>
      <c r="G51" s="84" t="n"/>
      <c r="H51" s="84" t="n"/>
      <c r="I51" s="84" t="n"/>
      <c r="J51" s="84" t="n"/>
      <c r="K51" s="84" t="n"/>
      <c r="L51" s="84" t="n"/>
      <c r="M51" s="84" t="n"/>
      <c r="N51" s="84" t="n"/>
      <c r="O51" s="84" t="n"/>
      <c r="P51" s="84" t="n"/>
      <c r="Q51" s="84" t="n"/>
    </row>
    <row r="52" ht="13.9" customHeight="1">
      <c r="A52" s="84" t="n"/>
      <c r="B52" s="84" t="n"/>
      <c r="C52" s="84" t="n"/>
      <c r="D52" s="84" t="n"/>
      <c r="E52" s="84" t="n"/>
      <c r="F52" s="84" t="n"/>
      <c r="G52" s="84" t="n"/>
      <c r="H52" s="84" t="n"/>
      <c r="I52" s="84" t="n"/>
      <c r="J52" s="84" t="n"/>
      <c r="K52" s="84" t="n"/>
      <c r="L52" s="84" t="n"/>
      <c r="M52" s="84" t="n"/>
      <c r="N52" s="84" t="n"/>
      <c r="O52" s="84" t="n"/>
      <c r="P52" s="84" t="n"/>
      <c r="Q52" s="84" t="n"/>
    </row>
    <row r="53" ht="13.9" customHeight="1">
      <c r="A53" s="84" t="n"/>
      <c r="B53" s="84" t="n"/>
      <c r="C53" s="84" t="n"/>
      <c r="D53" s="84" t="n"/>
      <c r="E53" s="84" t="n"/>
      <c r="F53" s="84" t="n"/>
      <c r="G53" s="84" t="n"/>
      <c r="H53" s="84" t="n"/>
      <c r="I53" s="84" t="n"/>
      <c r="J53" s="84" t="n"/>
      <c r="K53" s="84" t="n"/>
      <c r="L53" s="84" t="n"/>
      <c r="M53" s="84" t="n"/>
      <c r="N53" s="84" t="n"/>
      <c r="O53" s="84" t="n"/>
      <c r="P53" s="84" t="n"/>
      <c r="Q53" s="84" t="n"/>
    </row>
    <row r="54" ht="13.9" customHeight="1">
      <c r="A54" s="84" t="n"/>
      <c r="B54" s="84" t="n"/>
      <c r="C54" s="84" t="n"/>
      <c r="D54" s="84" t="n"/>
      <c r="E54" s="84" t="n"/>
      <c r="F54" s="84" t="n"/>
      <c r="G54" s="84" t="n"/>
      <c r="H54" s="84" t="n"/>
      <c r="I54" s="84" t="n"/>
      <c r="J54" s="84" t="n"/>
      <c r="K54" s="84" t="n"/>
      <c r="L54" s="84" t="n"/>
      <c r="M54" s="84" t="n"/>
      <c r="N54" s="84" t="n"/>
      <c r="O54" s="84" t="n"/>
      <c r="P54" s="84" t="n"/>
      <c r="Q54" s="84" t="n"/>
    </row>
    <row r="55" ht="13.9" customHeight="1">
      <c r="A55" s="84" t="n"/>
      <c r="B55" s="84" t="n"/>
      <c r="C55" s="84" t="n"/>
      <c r="D55" s="84" t="n"/>
      <c r="E55" s="84" t="n"/>
      <c r="F55" s="84" t="n"/>
      <c r="G55" s="84" t="n"/>
      <c r="H55" s="84" t="n"/>
      <c r="I55" s="84" t="n"/>
      <c r="J55" s="84" t="n"/>
      <c r="K55" s="84" t="n"/>
      <c r="L55" s="84" t="n"/>
      <c r="M55" s="84" t="n"/>
      <c r="N55" s="84" t="n"/>
      <c r="O55" s="84" t="n"/>
      <c r="P55" s="84" t="n"/>
      <c r="Q55" s="84" t="n"/>
    </row>
    <row r="56" ht="13.9" customHeight="1">
      <c r="A56" s="84" t="n"/>
      <c r="B56" s="84" t="n"/>
      <c r="C56" s="84" t="n"/>
      <c r="D56" s="84" t="n"/>
      <c r="E56" s="84" t="n"/>
      <c r="F56" s="84" t="n"/>
      <c r="G56" s="84" t="n"/>
      <c r="H56" s="84" t="n"/>
      <c r="I56" s="84" t="n"/>
      <c r="J56" s="84" t="n"/>
      <c r="K56" s="84" t="n"/>
      <c r="L56" s="84" t="n"/>
      <c r="M56" s="84" t="n"/>
      <c r="N56" s="84" t="n"/>
      <c r="O56" s="84" t="n"/>
      <c r="P56" s="84" t="n"/>
      <c r="Q56" s="84" t="n"/>
    </row>
    <row r="57" ht="13.9" customHeight="1">
      <c r="A57" s="84" t="n"/>
      <c r="B57" s="84" t="n"/>
      <c r="C57" s="84" t="n"/>
      <c r="D57" s="84" t="n"/>
      <c r="E57" s="84" t="n"/>
      <c r="F57" s="84" t="n"/>
      <c r="G57" s="84" t="n"/>
      <c r="H57" s="84" t="n"/>
      <c r="I57" s="84" t="n"/>
      <c r="J57" s="84" t="n"/>
      <c r="K57" s="84" t="n"/>
      <c r="L57" s="84" t="n"/>
      <c r="M57" s="84" t="n"/>
      <c r="N57" s="84" t="n"/>
      <c r="O57" s="84" t="n"/>
      <c r="P57" s="84" t="n"/>
      <c r="Q57" s="84" t="n"/>
    </row>
    <row r="58" ht="13.9" customHeight="1">
      <c r="A58" s="84" t="n"/>
      <c r="B58" s="84" t="n"/>
      <c r="C58" s="84" t="n"/>
      <c r="D58" s="84" t="n"/>
      <c r="E58" s="84" t="n"/>
      <c r="F58" s="84" t="n"/>
      <c r="G58" s="84" t="n"/>
      <c r="H58" s="84" t="n"/>
      <c r="I58" s="84" t="n"/>
      <c r="J58" s="84" t="n"/>
      <c r="K58" s="84" t="n"/>
      <c r="L58" s="84" t="n"/>
      <c r="M58" s="84" t="n"/>
      <c r="N58" s="84" t="n"/>
      <c r="O58" s="84" t="n"/>
      <c r="P58" s="84" t="n"/>
      <c r="Q58" s="84" t="n"/>
    </row>
    <row r="59" ht="13.9" customHeight="1">
      <c r="A59" s="84" t="n"/>
      <c r="B59" s="84" t="n"/>
      <c r="C59" s="84" t="n"/>
      <c r="D59" s="84" t="n"/>
      <c r="E59" s="84" t="n"/>
      <c r="F59" s="84" t="n"/>
      <c r="G59" s="84" t="n"/>
      <c r="H59" s="84" t="n"/>
      <c r="I59" s="84" t="n"/>
      <c r="J59" s="84" t="n"/>
      <c r="K59" s="84" t="n"/>
      <c r="L59" s="84" t="n"/>
      <c r="M59" s="84" t="n"/>
      <c r="N59" s="84" t="n"/>
      <c r="O59" s="84" t="n"/>
      <c r="P59" s="84" t="n"/>
      <c r="Q59" s="84" t="n"/>
    </row>
    <row r="60" ht="13.9" customHeight="1">
      <c r="A60" s="84" t="n"/>
      <c r="B60" s="84" t="n"/>
      <c r="C60" s="84" t="n"/>
      <c r="D60" s="84" t="n"/>
      <c r="E60" s="84" t="n"/>
      <c r="F60" s="84" t="n"/>
      <c r="G60" s="84" t="n"/>
      <c r="H60" s="84" t="n"/>
      <c r="I60" s="84" t="n"/>
      <c r="J60" s="84" t="n"/>
      <c r="K60" s="84" t="n"/>
      <c r="L60" s="84" t="n"/>
      <c r="M60" s="84" t="n"/>
      <c r="N60" s="84" t="n"/>
      <c r="O60" s="84" t="n"/>
      <c r="P60" s="84" t="n"/>
      <c r="Q60" s="84" t="n"/>
    </row>
    <row r="61" ht="13.9" customHeight="1">
      <c r="A61" s="84" t="n"/>
      <c r="B61" s="84" t="n"/>
      <c r="C61" s="84" t="n"/>
      <c r="D61" s="84" t="n"/>
      <c r="E61" s="84" t="n"/>
      <c r="F61" s="84" t="n"/>
      <c r="G61" s="84" t="n"/>
      <c r="H61" s="84" t="n"/>
      <c r="I61" s="84" t="n"/>
      <c r="J61" s="84" t="n"/>
      <c r="K61" s="84" t="n"/>
      <c r="L61" s="84" t="n"/>
      <c r="M61" s="84" t="n"/>
      <c r="N61" s="84" t="n"/>
      <c r="O61" s="84" t="n"/>
      <c r="P61" s="84" t="n"/>
      <c r="Q61" s="84" t="n"/>
    </row>
    <row r="62" ht="13.9" customHeight="1">
      <c r="A62" s="84" t="n"/>
      <c r="B62" s="84" t="n"/>
      <c r="C62" s="84" t="n"/>
      <c r="D62" s="84" t="n"/>
      <c r="E62" s="84" t="n"/>
      <c r="F62" s="84" t="n"/>
      <c r="G62" s="84" t="n"/>
      <c r="H62" s="84" t="n"/>
      <c r="I62" s="84" t="n"/>
      <c r="J62" s="84" t="n"/>
      <c r="K62" s="84" t="n"/>
      <c r="L62" s="84" t="n"/>
      <c r="M62" s="84" t="n"/>
      <c r="N62" s="84" t="n"/>
      <c r="O62" s="84" t="n"/>
      <c r="P62" s="84" t="n"/>
      <c r="Q62" s="84" t="n"/>
    </row>
    <row r="63" ht="13.9" customHeight="1">
      <c r="A63" s="84" t="n"/>
      <c r="B63" s="84" t="n"/>
      <c r="C63" s="84" t="n"/>
      <c r="D63" s="84" t="n"/>
      <c r="E63" s="84" t="n"/>
      <c r="F63" s="84" t="n"/>
      <c r="G63" s="84" t="n"/>
      <c r="H63" s="84" t="n"/>
      <c r="I63" s="84" t="n"/>
      <c r="J63" s="84" t="n"/>
      <c r="K63" s="84" t="n"/>
      <c r="L63" s="84" t="n"/>
      <c r="M63" s="84" t="n"/>
      <c r="N63" s="84" t="n"/>
      <c r="O63" s="84" t="n"/>
      <c r="P63" s="84" t="n"/>
      <c r="Q63" s="84" t="n"/>
    </row>
    <row r="64" ht="13.9" customHeight="1">
      <c r="A64" s="84" t="n"/>
      <c r="B64" s="84" t="n"/>
      <c r="C64" s="84" t="n"/>
      <c r="D64" s="84" t="n"/>
      <c r="E64" s="84" t="n"/>
      <c r="F64" s="84" t="n"/>
      <c r="G64" s="84" t="n"/>
      <c r="H64" s="84" t="n"/>
      <c r="I64" s="84" t="n"/>
      <c r="J64" s="84" t="n"/>
      <c r="K64" s="84" t="n"/>
      <c r="L64" s="84" t="n"/>
      <c r="M64" s="84" t="n"/>
      <c r="N64" s="84" t="n"/>
      <c r="O64" s="84" t="n"/>
      <c r="P64" s="84" t="n"/>
      <c r="Q64" s="84" t="n"/>
    </row>
    <row r="65" ht="13.9" customHeight="1">
      <c r="A65" s="84" t="n"/>
      <c r="B65" s="84" t="n"/>
      <c r="C65" s="84" t="n"/>
      <c r="D65" s="84" t="n"/>
      <c r="E65" s="84" t="n"/>
      <c r="F65" s="84" t="n"/>
      <c r="G65" s="84" t="n"/>
      <c r="H65" s="84" t="n"/>
      <c r="I65" s="84" t="n"/>
      <c r="J65" s="84" t="n"/>
      <c r="K65" s="84" t="n"/>
      <c r="L65" s="84" t="n"/>
      <c r="M65" s="84" t="n"/>
      <c r="N65" s="84" t="n"/>
      <c r="O65" s="84" t="n"/>
      <c r="P65" s="84" t="n"/>
      <c r="Q65" s="84" t="n"/>
    </row>
    <row r="66" ht="13.9" customHeight="1">
      <c r="A66" s="84" t="n"/>
      <c r="B66" s="84" t="n"/>
      <c r="C66" s="84" t="n"/>
      <c r="D66" s="84" t="n"/>
      <c r="E66" s="84" t="n"/>
      <c r="F66" s="84" t="n"/>
      <c r="G66" s="84" t="n"/>
      <c r="H66" s="84" t="n"/>
      <c r="I66" s="84" t="n"/>
      <c r="J66" s="84" t="n"/>
      <c r="K66" s="84" t="n"/>
      <c r="L66" s="84" t="n"/>
      <c r="M66" s="84" t="n"/>
      <c r="N66" s="84" t="n"/>
      <c r="O66" s="84" t="n"/>
      <c r="P66" s="84" t="n"/>
      <c r="Q66" s="84" t="n"/>
    </row>
    <row r="67" ht="13.9" customHeight="1">
      <c r="A67" s="84" t="n"/>
      <c r="B67" s="84" t="n"/>
      <c r="C67" s="84" t="n"/>
      <c r="D67" s="84" t="n"/>
      <c r="E67" s="84" t="n"/>
      <c r="F67" s="84" t="n"/>
      <c r="G67" s="84" t="n"/>
      <c r="H67" s="84" t="n"/>
      <c r="I67" s="84" t="n"/>
      <c r="J67" s="84" t="n"/>
      <c r="K67" s="84" t="n"/>
      <c r="L67" s="84" t="n"/>
      <c r="M67" s="84" t="n"/>
      <c r="N67" s="84" t="n"/>
      <c r="O67" s="84" t="n"/>
      <c r="P67" s="84" t="n"/>
      <c r="Q67" s="84" t="n"/>
    </row>
    <row r="68" ht="13.9" customHeight="1">
      <c r="A68" s="84" t="n"/>
      <c r="B68" s="84" t="n"/>
      <c r="C68" s="84" t="n"/>
      <c r="D68" s="84" t="n"/>
      <c r="E68" s="84" t="n"/>
      <c r="F68" s="84" t="n"/>
      <c r="G68" s="84" t="n"/>
      <c r="H68" s="84" t="n"/>
      <c r="I68" s="84" t="n"/>
      <c r="J68" s="84" t="n"/>
      <c r="K68" s="84" t="n"/>
      <c r="L68" s="84" t="n"/>
      <c r="M68" s="84" t="n"/>
      <c r="N68" s="84" t="n"/>
      <c r="O68" s="84" t="n"/>
      <c r="P68" s="84" t="n"/>
      <c r="Q68" s="84" t="n"/>
    </row>
    <row r="69" ht="13.9" customHeight="1">
      <c r="A69" s="84" t="n"/>
      <c r="B69" s="84" t="n"/>
      <c r="C69" s="84" t="n"/>
      <c r="D69" s="84" t="n"/>
      <c r="E69" s="84" t="n"/>
      <c r="F69" s="84" t="n"/>
      <c r="G69" s="84" t="n"/>
      <c r="H69" s="84" t="n"/>
      <c r="I69" s="84" t="n"/>
      <c r="J69" s="84" t="n"/>
      <c r="K69" s="84" t="n"/>
      <c r="L69" s="84" t="n"/>
      <c r="M69" s="84" t="n"/>
      <c r="N69" s="84" t="n"/>
      <c r="O69" s="84" t="n"/>
      <c r="P69" s="84" t="n"/>
      <c r="Q69" s="84" t="n"/>
    </row>
    <row r="70" ht="13.9" customHeight="1">
      <c r="A70" s="84" t="n"/>
      <c r="B70" s="84" t="n"/>
      <c r="C70" s="84" t="n"/>
      <c r="D70" s="84" t="n"/>
      <c r="E70" s="84" t="n"/>
      <c r="F70" s="84" t="n"/>
      <c r="G70" s="84" t="n"/>
      <c r="H70" s="84" t="n"/>
      <c r="I70" s="84" t="n"/>
      <c r="J70" s="84" t="n"/>
      <c r="K70" s="84" t="n"/>
      <c r="L70" s="84" t="n"/>
      <c r="M70" s="84" t="n"/>
      <c r="N70" s="84" t="n"/>
      <c r="O70" s="84" t="n"/>
      <c r="P70" s="84" t="n"/>
      <c r="Q70" s="84" t="n"/>
    </row>
    <row r="71" ht="13.9" customHeight="1">
      <c r="A71" s="84" t="n"/>
      <c r="B71" s="84" t="n"/>
      <c r="C71" s="84" t="n"/>
      <c r="D71" s="84" t="n"/>
      <c r="E71" s="84" t="n"/>
      <c r="F71" s="84" t="n"/>
      <c r="G71" s="84" t="n"/>
      <c r="H71" s="84" t="n"/>
      <c r="I71" s="84" t="n"/>
      <c r="J71" s="84" t="n"/>
      <c r="K71" s="84" t="n"/>
      <c r="L71" s="84" t="n"/>
      <c r="M71" s="84" t="n"/>
      <c r="N71" s="84" t="n"/>
      <c r="O71" s="84" t="n"/>
      <c r="P71" s="84" t="n"/>
      <c r="Q71" s="84" t="n"/>
    </row>
    <row r="72" ht="13.9" customHeight="1">
      <c r="A72" s="84" t="n"/>
      <c r="B72" s="84" t="n"/>
      <c r="C72" s="84" t="n"/>
      <c r="D72" s="84" t="n"/>
      <c r="E72" s="84" t="n"/>
      <c r="F72" s="84" t="n"/>
      <c r="G72" s="84" t="n"/>
      <c r="H72" s="84" t="n"/>
      <c r="I72" s="84" t="n"/>
      <c r="J72" s="84" t="n"/>
      <c r="K72" s="84" t="n"/>
      <c r="L72" s="84" t="n"/>
      <c r="M72" s="84" t="n"/>
      <c r="N72" s="84" t="n"/>
      <c r="O72" s="84" t="n"/>
      <c r="P72" s="84" t="n"/>
      <c r="Q72" s="84" t="n"/>
    </row>
    <row r="73" ht="13.9" customHeight="1">
      <c r="A73" s="84" t="n"/>
      <c r="B73" s="84" t="n"/>
      <c r="C73" s="84" t="n"/>
      <c r="D73" s="84" t="n"/>
      <c r="E73" s="84" t="n"/>
      <c r="F73" s="84" t="n"/>
      <c r="G73" s="84" t="n"/>
      <c r="H73" s="84" t="n"/>
      <c r="I73" s="84" t="n"/>
      <c r="J73" s="84" t="n"/>
      <c r="K73" s="84" t="n"/>
      <c r="L73" s="84" t="n"/>
      <c r="M73" s="84" t="n"/>
      <c r="N73" s="84" t="n"/>
      <c r="O73" s="84" t="n"/>
      <c r="P73" s="84" t="n"/>
      <c r="Q73" s="84" t="n"/>
    </row>
    <row r="74" ht="13.9" customHeight="1">
      <c r="A74" s="84" t="n"/>
      <c r="B74" s="84" t="n"/>
      <c r="C74" s="84" t="n"/>
      <c r="D74" s="84" t="n"/>
      <c r="E74" s="84" t="n"/>
      <c r="F74" s="84" t="n"/>
      <c r="G74" s="84" t="n"/>
      <c r="H74" s="84" t="n"/>
      <c r="I74" s="84" t="n"/>
      <c r="J74" s="84" t="n"/>
      <c r="K74" s="84" t="n"/>
      <c r="L74" s="84" t="n"/>
      <c r="M74" s="84" t="n"/>
      <c r="N74" s="84" t="n"/>
      <c r="O74" s="84" t="n"/>
      <c r="P74" s="84" t="n"/>
      <c r="Q74" s="84" t="n"/>
    </row>
    <row r="75" ht="13.9" customHeight="1">
      <c r="A75" s="84" t="n"/>
      <c r="B75" s="84" t="n"/>
      <c r="C75" s="84" t="n"/>
      <c r="D75" s="84" t="n"/>
      <c r="E75" s="84" t="n"/>
      <c r="F75" s="84" t="n"/>
      <c r="G75" s="84" t="n"/>
      <c r="H75" s="84" t="n"/>
      <c r="I75" s="84" t="n"/>
      <c r="J75" s="84" t="n"/>
      <c r="K75" s="84" t="n"/>
      <c r="L75" s="84" t="n"/>
      <c r="M75" s="84" t="n"/>
      <c r="N75" s="84" t="n"/>
      <c r="O75" s="84" t="n"/>
      <c r="P75" s="84" t="n"/>
      <c r="Q75" s="84" t="n"/>
    </row>
    <row r="76" ht="13.9" customHeight="1">
      <c r="A76" s="84" t="n"/>
      <c r="B76" s="84" t="n"/>
      <c r="C76" s="84" t="n"/>
      <c r="D76" s="84" t="n"/>
      <c r="E76" s="84" t="n"/>
      <c r="F76" s="84" t="n"/>
      <c r="G76" s="84" t="n"/>
      <c r="H76" s="84" t="n"/>
      <c r="I76" s="84" t="n"/>
      <c r="J76" s="84" t="n"/>
      <c r="K76" s="84" t="n"/>
      <c r="L76" s="84" t="n"/>
      <c r="M76" s="84" t="n"/>
      <c r="N76" s="84" t="n"/>
      <c r="O76" s="84" t="n"/>
      <c r="P76" s="84" t="n"/>
      <c r="Q76" s="84" t="n"/>
    </row>
    <row r="77" ht="13.9" customHeight="1">
      <c r="A77" s="84" t="n"/>
      <c r="B77" s="84" t="n"/>
      <c r="C77" s="84" t="n"/>
      <c r="D77" s="84" t="n"/>
      <c r="E77" s="84" t="n"/>
      <c r="F77" s="84" t="n"/>
      <c r="G77" s="84" t="n"/>
      <c r="H77" s="84" t="n"/>
      <c r="I77" s="84" t="n"/>
      <c r="J77" s="84" t="n"/>
      <c r="K77" s="84" t="n"/>
      <c r="L77" s="84" t="n"/>
      <c r="M77" s="84" t="n"/>
      <c r="N77" s="84" t="n"/>
      <c r="O77" s="84" t="n"/>
      <c r="P77" s="84" t="n"/>
      <c r="Q77" s="84" t="n"/>
    </row>
    <row r="78" ht="13.9" customHeight="1">
      <c r="A78" s="84" t="n"/>
      <c r="B78" s="84" t="n"/>
      <c r="C78" s="84" t="n"/>
      <c r="D78" s="84" t="n"/>
      <c r="E78" s="84" t="n"/>
      <c r="F78" s="84" t="n"/>
      <c r="G78" s="84" t="n"/>
      <c r="H78" s="84" t="n"/>
      <c r="I78" s="84" t="n"/>
      <c r="J78" s="84" t="n"/>
      <c r="K78" s="84" t="n"/>
      <c r="L78" s="84" t="n"/>
      <c r="M78" s="84" t="n"/>
      <c r="N78" s="84" t="n"/>
      <c r="O78" s="84" t="n"/>
      <c r="P78" s="84" t="n"/>
      <c r="Q78" s="84" t="n"/>
    </row>
    <row r="79" ht="13.9" customHeight="1">
      <c r="A79" s="84" t="n"/>
      <c r="B79" s="84" t="n"/>
      <c r="C79" s="84" t="n"/>
      <c r="D79" s="84" t="n"/>
      <c r="E79" s="84" t="n"/>
      <c r="F79" s="84" t="n"/>
      <c r="G79" s="84" t="n"/>
      <c r="H79" s="84" t="n"/>
      <c r="I79" s="84" t="n"/>
      <c r="J79" s="84" t="n"/>
      <c r="K79" s="84" t="n"/>
      <c r="L79" s="84" t="n"/>
      <c r="M79" s="84" t="n"/>
      <c r="N79" s="84" t="n"/>
      <c r="O79" s="84" t="n"/>
      <c r="P79" s="84" t="n"/>
      <c r="Q79" s="84" t="n"/>
    </row>
    <row r="80" ht="13.9" customHeight="1">
      <c r="A80" s="84" t="n"/>
      <c r="B80" s="84" t="n"/>
      <c r="C80" s="84" t="n"/>
      <c r="D80" s="84" t="n"/>
      <c r="E80" s="84" t="n"/>
      <c r="F80" s="84" t="n"/>
      <c r="G80" s="84" t="n"/>
      <c r="H80" s="84" t="n"/>
      <c r="I80" s="84" t="n"/>
      <c r="J80" s="84" t="n"/>
      <c r="K80" s="84" t="n"/>
      <c r="L80" s="84" t="n"/>
      <c r="M80" s="84" t="n"/>
      <c r="N80" s="84" t="n"/>
      <c r="O80" s="84" t="n"/>
      <c r="P80" s="84" t="n"/>
      <c r="Q80" s="84" t="n"/>
    </row>
    <row r="81" ht="13.9" customHeight="1">
      <c r="A81" s="84" t="n"/>
      <c r="B81" s="84" t="n"/>
      <c r="C81" s="84" t="n"/>
      <c r="D81" s="84" t="n"/>
      <c r="E81" s="84" t="n"/>
      <c r="F81" s="84" t="n"/>
      <c r="G81" s="84" t="n"/>
      <c r="H81" s="84" t="n"/>
      <c r="I81" s="84" t="n"/>
      <c r="J81" s="84" t="n"/>
      <c r="K81" s="84" t="n"/>
      <c r="L81" s="84" t="n"/>
      <c r="M81" s="84" t="n"/>
      <c r="N81" s="84" t="n"/>
      <c r="O81" s="84" t="n"/>
      <c r="P81" s="84" t="n"/>
      <c r="Q81" s="84" t="n"/>
    </row>
    <row r="82" ht="13.9" customHeight="1">
      <c r="A82" s="84" t="n"/>
      <c r="B82" s="84" t="n"/>
      <c r="C82" s="84" t="n"/>
      <c r="D82" s="84" t="n"/>
      <c r="E82" s="84" t="n"/>
      <c r="F82" s="84" t="n"/>
      <c r="G82" s="84" t="n"/>
      <c r="H82" s="84" t="n"/>
      <c r="I82" s="84" t="n"/>
      <c r="J82" s="84" t="n"/>
      <c r="K82" s="84" t="n"/>
      <c r="L82" s="84" t="n"/>
      <c r="M82" s="84" t="n"/>
      <c r="N82" s="84" t="n"/>
      <c r="O82" s="84" t="n"/>
      <c r="P82" s="84" t="n"/>
      <c r="Q82" s="84" t="n"/>
    </row>
    <row r="83" ht="13.9" customHeight="1">
      <c r="A83" s="84" t="n"/>
      <c r="B83" s="84" t="n"/>
      <c r="C83" s="84" t="n"/>
      <c r="D83" s="84" t="n"/>
      <c r="E83" s="84" t="n"/>
      <c r="F83" s="84" t="n"/>
      <c r="G83" s="84" t="n"/>
      <c r="H83" s="84" t="n"/>
      <c r="I83" s="84" t="n"/>
      <c r="J83" s="84" t="n"/>
      <c r="K83" s="84" t="n"/>
      <c r="L83" s="84" t="n"/>
      <c r="M83" s="84" t="n"/>
      <c r="N83" s="84" t="n"/>
      <c r="O83" s="84" t="n"/>
      <c r="P83" s="84" t="n"/>
      <c r="Q83" s="84" t="n"/>
    </row>
    <row r="84" ht="13.9" customHeight="1">
      <c r="A84" s="84" t="n"/>
      <c r="B84" s="84" t="n"/>
      <c r="C84" s="84" t="n"/>
      <c r="D84" s="84" t="n"/>
      <c r="E84" s="84" t="n"/>
      <c r="F84" s="84" t="n"/>
      <c r="G84" s="84" t="n"/>
      <c r="H84" s="84" t="n"/>
      <c r="I84" s="84" t="n"/>
      <c r="J84" s="84" t="n"/>
      <c r="K84" s="84" t="n"/>
      <c r="L84" s="84" t="n"/>
      <c r="M84" s="84" t="n"/>
      <c r="N84" s="84" t="n"/>
      <c r="O84" s="84" t="n"/>
      <c r="P84" s="84" t="n"/>
      <c r="Q84" s="84" t="n"/>
    </row>
    <row r="85" ht="13.9" customHeight="1">
      <c r="A85" s="84" t="n"/>
      <c r="B85" s="84" t="n"/>
      <c r="C85" s="84" t="n"/>
      <c r="D85" s="84" t="n"/>
      <c r="E85" s="84" t="n"/>
      <c r="F85" s="84" t="n"/>
      <c r="G85" s="84" t="n"/>
      <c r="H85" s="84" t="n"/>
      <c r="I85" s="84" t="n"/>
      <c r="J85" s="84" t="n"/>
      <c r="K85" s="84" t="n"/>
      <c r="L85" s="84" t="n"/>
      <c r="M85" s="84" t="n"/>
      <c r="N85" s="84" t="n"/>
      <c r="O85" s="84" t="n"/>
      <c r="P85" s="84" t="n"/>
      <c r="Q85" s="84" t="n"/>
    </row>
    <row r="86" ht="13.9" customHeight="1">
      <c r="A86" s="84" t="n"/>
      <c r="B86" s="84" t="n"/>
      <c r="C86" s="84" t="n"/>
      <c r="D86" s="84" t="n"/>
      <c r="E86" s="84" t="n"/>
      <c r="F86" s="84" t="n"/>
      <c r="G86" s="84" t="n"/>
      <c r="H86" s="84" t="n"/>
      <c r="I86" s="84" t="n"/>
      <c r="J86" s="84" t="n"/>
      <c r="K86" s="84" t="n"/>
      <c r="L86" s="84" t="n"/>
      <c r="M86" s="84" t="n"/>
      <c r="N86" s="84" t="n"/>
      <c r="O86" s="84" t="n"/>
      <c r="P86" s="84" t="n"/>
      <c r="Q86" s="84" t="n"/>
    </row>
    <row r="87" ht="13.9" customHeight="1">
      <c r="A87" s="84" t="n"/>
      <c r="B87" s="84" t="n"/>
      <c r="C87" s="84" t="n"/>
      <c r="D87" s="84" t="n"/>
      <c r="E87" s="84" t="n"/>
      <c r="F87" s="84" t="n"/>
      <c r="G87" s="84" t="n"/>
      <c r="H87" s="84" t="n"/>
      <c r="I87" s="84" t="n"/>
      <c r="J87" s="84" t="n"/>
      <c r="K87" s="84" t="n"/>
      <c r="L87" s="84" t="n"/>
      <c r="M87" s="84" t="n"/>
      <c r="N87" s="84" t="n"/>
      <c r="O87" s="84" t="n"/>
      <c r="P87" s="84" t="n"/>
      <c r="Q87" s="84" t="n"/>
    </row>
    <row r="88" ht="13.9" customHeight="1">
      <c r="A88" s="84" t="n"/>
      <c r="B88" s="84" t="n"/>
      <c r="C88" s="84" t="n"/>
      <c r="D88" s="84" t="n"/>
      <c r="E88" s="84" t="n"/>
      <c r="F88" s="84" t="n"/>
      <c r="G88" s="84" t="n"/>
      <c r="H88" s="84" t="n"/>
      <c r="I88" s="84" t="n"/>
      <c r="J88" s="84" t="n"/>
      <c r="K88" s="84" t="n"/>
      <c r="L88" s="84" t="n"/>
      <c r="M88" s="84" t="n"/>
      <c r="N88" s="84" t="n"/>
      <c r="O88" s="84" t="n"/>
      <c r="P88" s="84" t="n"/>
      <c r="Q88" s="84" t="n"/>
    </row>
    <row r="89" ht="13.9" customHeight="1">
      <c r="A89" s="84" t="n"/>
      <c r="B89" s="84" t="n"/>
      <c r="C89" s="84" t="n"/>
      <c r="D89" s="84" t="n"/>
      <c r="E89" s="84" t="n"/>
      <c r="F89" s="84" t="n"/>
      <c r="G89" s="84" t="n"/>
      <c r="H89" s="84" t="n"/>
      <c r="I89" s="84" t="n"/>
      <c r="J89" s="84" t="n"/>
      <c r="K89" s="84" t="n"/>
      <c r="L89" s="84" t="n"/>
      <c r="M89" s="84" t="n"/>
      <c r="N89" s="84" t="n"/>
      <c r="O89" s="84" t="n"/>
      <c r="P89" s="84" t="n"/>
      <c r="Q89" s="84" t="n"/>
    </row>
    <row r="90" ht="13.9" customHeight="1">
      <c r="A90" s="84" t="n"/>
      <c r="B90" s="84" t="n"/>
      <c r="C90" s="84" t="n"/>
      <c r="D90" s="84" t="n"/>
      <c r="E90" s="84" t="n"/>
      <c r="F90" s="84" t="n"/>
      <c r="G90" s="84" t="n"/>
      <c r="H90" s="84" t="n"/>
      <c r="I90" s="84" t="n"/>
      <c r="J90" s="84" t="n"/>
      <c r="K90" s="84" t="n"/>
      <c r="L90" s="84" t="n"/>
      <c r="M90" s="84" t="n"/>
      <c r="N90" s="84" t="n"/>
      <c r="O90" s="84" t="n"/>
      <c r="P90" s="84" t="n"/>
      <c r="Q90" s="84" t="n"/>
    </row>
    <row r="91" ht="13.9" customHeight="1">
      <c r="A91" s="84" t="n"/>
      <c r="B91" s="84" t="n"/>
      <c r="C91" s="84" t="n"/>
      <c r="D91" s="84" t="n"/>
      <c r="E91" s="84" t="n"/>
      <c r="F91" s="84" t="n"/>
      <c r="G91" s="84" t="n"/>
      <c r="H91" s="84" t="n"/>
      <c r="I91" s="84" t="n"/>
      <c r="J91" s="84" t="n"/>
      <c r="K91" s="84" t="n"/>
      <c r="L91" s="84" t="n"/>
      <c r="M91" s="84" t="n"/>
      <c r="N91" s="84" t="n"/>
      <c r="O91" s="84" t="n"/>
      <c r="P91" s="84" t="n"/>
      <c r="Q91" s="84" t="n"/>
    </row>
    <row r="92" ht="13.9" customHeight="1">
      <c r="A92" s="84" t="n"/>
      <c r="B92" s="84" t="n"/>
      <c r="C92" s="84" t="n"/>
      <c r="D92" s="84" t="n"/>
      <c r="E92" s="84" t="n"/>
      <c r="F92" s="84" t="n"/>
      <c r="G92" s="84" t="n"/>
      <c r="H92" s="84" t="n"/>
      <c r="I92" s="84" t="n"/>
      <c r="J92" s="84" t="n"/>
      <c r="K92" s="84" t="n"/>
      <c r="L92" s="84" t="n"/>
      <c r="M92" s="84" t="n"/>
      <c r="N92" s="84" t="n"/>
      <c r="O92" s="84" t="n"/>
      <c r="P92" s="84" t="n"/>
      <c r="Q92" s="84" t="n"/>
    </row>
    <row r="93" ht="13.9" customHeight="1">
      <c r="A93" s="84" t="n"/>
      <c r="B93" s="84" t="n"/>
      <c r="C93" s="84" t="n"/>
      <c r="D93" s="84" t="n"/>
      <c r="E93" s="84" t="n"/>
      <c r="F93" s="84" t="n"/>
      <c r="G93" s="84" t="n"/>
      <c r="H93" s="84" t="n"/>
      <c r="I93" s="84" t="n"/>
      <c r="J93" s="84" t="n"/>
      <c r="K93" s="84" t="n"/>
      <c r="L93" s="84" t="n"/>
      <c r="M93" s="84" t="n"/>
      <c r="N93" s="84" t="n"/>
      <c r="O93" s="84" t="n"/>
      <c r="P93" s="84" t="n"/>
      <c r="Q93" s="84" t="n"/>
    </row>
    <row r="94" ht="13.9" customHeight="1">
      <c r="A94" s="84" t="n"/>
      <c r="B94" s="84" t="n"/>
      <c r="C94" s="84" t="n"/>
      <c r="D94" s="84" t="n"/>
      <c r="E94" s="84" t="n"/>
      <c r="F94" s="84" t="n"/>
      <c r="G94" s="84" t="n"/>
      <c r="H94" s="84" t="n"/>
      <c r="I94" s="84" t="n"/>
      <c r="J94" s="84" t="n"/>
      <c r="K94" s="84" t="n"/>
      <c r="L94" s="84" t="n"/>
      <c r="M94" s="84" t="n"/>
      <c r="N94" s="84" t="n"/>
      <c r="O94" s="84" t="n"/>
      <c r="P94" s="84" t="n"/>
      <c r="Q94" s="84" t="n"/>
    </row>
    <row r="95" ht="13.9" customHeight="1">
      <c r="A95" s="84" t="n"/>
      <c r="B95" s="84" t="n"/>
      <c r="C95" s="84" t="n"/>
      <c r="D95" s="84" t="n"/>
      <c r="E95" s="84" t="n"/>
      <c r="F95" s="84" t="n"/>
      <c r="G95" s="84" t="n"/>
      <c r="H95" s="84" t="n"/>
      <c r="I95" s="84" t="n"/>
      <c r="J95" s="84" t="n"/>
      <c r="K95" s="84" t="n"/>
      <c r="L95" s="84" t="n"/>
      <c r="M95" s="84" t="n"/>
      <c r="N95" s="84" t="n"/>
      <c r="O95" s="84" t="n"/>
      <c r="P95" s="84" t="n"/>
      <c r="Q95" s="84" t="n"/>
    </row>
    <row r="96" ht="13.9" customHeight="1">
      <c r="A96" s="84" t="n"/>
      <c r="B96" s="84" t="n"/>
      <c r="C96" s="84" t="n"/>
      <c r="D96" s="84" t="n"/>
      <c r="E96" s="84" t="n"/>
      <c r="F96" s="84" t="n"/>
      <c r="G96" s="84" t="n"/>
      <c r="H96" s="84" t="n"/>
      <c r="I96" s="84" t="n"/>
      <c r="J96" s="84" t="n"/>
      <c r="K96" s="84" t="n"/>
      <c r="L96" s="84" t="n"/>
      <c r="M96" s="84" t="n"/>
      <c r="N96" s="84" t="n"/>
      <c r="O96" s="84" t="n"/>
      <c r="P96" s="84" t="n"/>
      <c r="Q96" s="84" t="n"/>
    </row>
    <row r="97" ht="13.9" customHeight="1">
      <c r="A97" s="84" t="n"/>
      <c r="B97" s="84" t="n"/>
      <c r="C97" s="84" t="n"/>
      <c r="D97" s="84" t="n"/>
      <c r="E97" s="84" t="n"/>
      <c r="F97" s="84" t="n"/>
      <c r="G97" s="84" t="n"/>
      <c r="H97" s="84" t="n"/>
      <c r="I97" s="84" t="n"/>
      <c r="J97" s="84" t="n"/>
      <c r="K97" s="84" t="n"/>
      <c r="L97" s="84" t="n"/>
      <c r="M97" s="84" t="n"/>
      <c r="N97" s="84" t="n"/>
      <c r="O97" s="84" t="n"/>
      <c r="P97" s="84" t="n"/>
      <c r="Q97" s="84" t="n"/>
    </row>
    <row r="98" ht="13.9" customHeight="1">
      <c r="A98" s="84" t="n"/>
      <c r="B98" s="84" t="n"/>
      <c r="C98" s="84" t="n"/>
      <c r="D98" s="84" t="n"/>
      <c r="E98" s="84" t="n"/>
      <c r="F98" s="84" t="n"/>
      <c r="G98" s="84" t="n"/>
      <c r="H98" s="84" t="n"/>
      <c r="I98" s="84" t="n"/>
      <c r="J98" s="84" t="n"/>
      <c r="K98" s="84" t="n"/>
      <c r="L98" s="84" t="n"/>
      <c r="M98" s="84" t="n"/>
      <c r="N98" s="84" t="n"/>
      <c r="O98" s="84" t="n"/>
      <c r="P98" s="84" t="n"/>
      <c r="Q98" s="84" t="n"/>
    </row>
    <row r="99" ht="13.9" customHeight="1">
      <c r="A99" s="84" t="n"/>
      <c r="B99" s="84" t="n"/>
      <c r="C99" s="84" t="n"/>
      <c r="D99" s="84" t="n"/>
      <c r="E99" s="84" t="n"/>
      <c r="F99" s="84" t="n"/>
      <c r="G99" s="84" t="n"/>
      <c r="H99" s="84" t="n"/>
      <c r="I99" s="84" t="n"/>
      <c r="J99" s="84" t="n"/>
      <c r="K99" s="84" t="n"/>
      <c r="L99" s="84" t="n"/>
      <c r="M99" s="84" t="n"/>
      <c r="N99" s="84" t="n"/>
      <c r="O99" s="84" t="n"/>
      <c r="P99" s="84" t="n"/>
      <c r="Q99" s="84" t="n"/>
    </row>
    <row r="100" ht="13.9" customHeight="1">
      <c r="A100" s="84" t="n"/>
      <c r="B100" s="84" t="n"/>
      <c r="C100" s="84" t="n"/>
      <c r="D100" s="84" t="n"/>
      <c r="E100" s="84" t="n"/>
      <c r="F100" s="84" t="n"/>
      <c r="G100" s="84" t="n"/>
      <c r="H100" s="84" t="n"/>
      <c r="I100" s="84" t="n"/>
      <c r="J100" s="84" t="n"/>
      <c r="K100" s="84" t="n"/>
      <c r="L100" s="84" t="n"/>
      <c r="M100" s="84" t="n"/>
      <c r="N100" s="84" t="n"/>
      <c r="O100" s="84" t="n"/>
      <c r="P100" s="84" t="n"/>
      <c r="Q100" s="84" t="n"/>
    </row>
    <row r="101" ht="13.9" customHeight="1">
      <c r="A101" s="84" t="n"/>
      <c r="B101" s="84" t="n"/>
      <c r="C101" s="84" t="n"/>
      <c r="D101" s="84" t="n"/>
      <c r="E101" s="84" t="n"/>
      <c r="F101" s="84" t="n"/>
      <c r="G101" s="84" t="n"/>
      <c r="H101" s="84" t="n"/>
      <c r="I101" s="84" t="n"/>
      <c r="J101" s="84" t="n"/>
      <c r="K101" s="84" t="n"/>
      <c r="L101" s="84" t="n"/>
      <c r="M101" s="84" t="n"/>
      <c r="N101" s="84" t="n"/>
      <c r="O101" s="84" t="n"/>
      <c r="P101" s="84" t="n"/>
      <c r="Q101" s="84" t="n"/>
    </row>
    <row r="102" ht="13.9" customHeight="1">
      <c r="A102" s="84" t="n"/>
      <c r="B102" s="84" t="n"/>
      <c r="C102" s="84" t="n"/>
      <c r="D102" s="84" t="n"/>
      <c r="E102" s="84" t="n"/>
      <c r="F102" s="84" t="n"/>
      <c r="G102" s="84" t="n"/>
      <c r="H102" s="84" t="n"/>
      <c r="I102" s="84" t="n"/>
      <c r="J102" s="84" t="n"/>
      <c r="K102" s="84" t="n"/>
      <c r="L102" s="84" t="n"/>
      <c r="M102" s="84" t="n"/>
      <c r="N102" s="84" t="n"/>
      <c r="O102" s="84" t="n"/>
      <c r="P102" s="84" t="n"/>
      <c r="Q102" s="84" t="n"/>
    </row>
    <row r="103" ht="13.9" customHeight="1">
      <c r="A103" s="84" t="n"/>
      <c r="B103" s="84" t="n"/>
      <c r="C103" s="84" t="n"/>
      <c r="D103" s="84" t="n"/>
      <c r="E103" s="84" t="n"/>
      <c r="F103" s="84" t="n"/>
      <c r="G103" s="84" t="n"/>
      <c r="H103" s="84" t="n"/>
      <c r="I103" s="84" t="n"/>
      <c r="J103" s="84" t="n"/>
      <c r="K103" s="84" t="n"/>
      <c r="L103" s="84" t="n"/>
      <c r="M103" s="84" t="n"/>
      <c r="N103" s="84" t="n"/>
      <c r="O103" s="84" t="n"/>
      <c r="P103" s="84" t="n"/>
      <c r="Q103" s="84" t="n"/>
    </row>
    <row r="104" ht="13.9" customHeight="1">
      <c r="A104" s="84" t="n"/>
      <c r="B104" s="84" t="n"/>
      <c r="C104" s="84" t="n"/>
      <c r="D104" s="84" t="n"/>
      <c r="E104" s="84" t="n"/>
      <c r="F104" s="84" t="n"/>
      <c r="G104" s="84" t="n"/>
      <c r="H104" s="84" t="n"/>
      <c r="I104" s="84" t="n"/>
      <c r="J104" s="84" t="n"/>
      <c r="K104" s="84" t="n"/>
      <c r="L104" s="84" t="n"/>
      <c r="M104" s="84" t="n"/>
      <c r="N104" s="84" t="n"/>
      <c r="O104" s="84" t="n"/>
      <c r="P104" s="84" t="n"/>
      <c r="Q104" s="84" t="n"/>
    </row>
    <row r="105" ht="13.9" customHeight="1">
      <c r="A105" s="84" t="n"/>
      <c r="B105" s="84" t="n"/>
      <c r="C105" s="84" t="n"/>
      <c r="D105" s="84" t="n"/>
      <c r="E105" s="84" t="n"/>
      <c r="F105" s="84" t="n"/>
      <c r="G105" s="84" t="n"/>
      <c r="H105" s="84" t="n"/>
      <c r="I105" s="84" t="n"/>
      <c r="J105" s="84" t="n"/>
      <c r="K105" s="84" t="n"/>
      <c r="L105" s="84" t="n"/>
      <c r="M105" s="84" t="n"/>
      <c r="N105" s="84" t="n"/>
      <c r="O105" s="84" t="n"/>
      <c r="P105" s="84" t="n"/>
      <c r="Q105" s="84" t="n"/>
    </row>
    <row r="106" ht="13.9" customHeight="1">
      <c r="A106" s="84" t="n"/>
      <c r="B106" s="84" t="n"/>
      <c r="C106" s="84" t="n"/>
      <c r="D106" s="84" t="n"/>
      <c r="E106" s="84" t="n"/>
      <c r="F106" s="84" t="n"/>
      <c r="G106" s="84" t="n"/>
      <c r="H106" s="84" t="n"/>
      <c r="I106" s="84" t="n"/>
      <c r="J106" s="84" t="n"/>
      <c r="K106" s="84" t="n"/>
      <c r="L106" s="84" t="n"/>
      <c r="M106" s="84" t="n"/>
      <c r="N106" s="84" t="n"/>
      <c r="O106" s="84" t="n"/>
      <c r="P106" s="84" t="n"/>
      <c r="Q106" s="84" t="n"/>
    </row>
    <row r="107" ht="13.9" customHeight="1">
      <c r="A107" s="84" t="n"/>
      <c r="B107" s="84" t="n"/>
      <c r="C107" s="84" t="n"/>
      <c r="D107" s="84" t="n"/>
      <c r="E107" s="84" t="n"/>
      <c r="F107" s="84" t="n"/>
      <c r="G107" s="84" t="n"/>
      <c r="H107" s="84" t="n"/>
      <c r="I107" s="84" t="n"/>
      <c r="J107" s="84" t="n"/>
      <c r="K107" s="84" t="n"/>
      <c r="L107" s="84" t="n"/>
      <c r="M107" s="84" t="n"/>
      <c r="N107" s="84" t="n"/>
      <c r="O107" s="84" t="n"/>
      <c r="P107" s="84" t="n"/>
      <c r="Q107" s="84" t="n"/>
    </row>
    <row r="108" ht="13.9" customHeight="1">
      <c r="A108" s="84" t="n"/>
      <c r="B108" s="84" t="n"/>
      <c r="C108" s="84" t="n"/>
      <c r="D108" s="84" t="n"/>
      <c r="E108" s="84" t="n"/>
      <c r="F108" s="84" t="n"/>
      <c r="G108" s="84" t="n"/>
      <c r="H108" s="84" t="n"/>
      <c r="I108" s="84" t="n"/>
      <c r="J108" s="84" t="n"/>
      <c r="K108" s="84" t="n"/>
      <c r="L108" s="84" t="n"/>
      <c r="M108" s="84" t="n"/>
      <c r="N108" s="84" t="n"/>
      <c r="O108" s="84" t="n"/>
      <c r="P108" s="84" t="n"/>
      <c r="Q108" s="84" t="n"/>
    </row>
    <row r="109" ht="13.9" customHeight="1">
      <c r="A109" s="84" t="n"/>
      <c r="B109" s="84" t="n"/>
      <c r="C109" s="84" t="n"/>
      <c r="D109" s="84" t="n"/>
      <c r="E109" s="84" t="n"/>
      <c r="F109" s="84" t="n"/>
      <c r="G109" s="84" t="n"/>
      <c r="H109" s="84" t="n"/>
      <c r="I109" s="84" t="n"/>
      <c r="J109" s="84" t="n"/>
      <c r="K109" s="84" t="n"/>
      <c r="L109" s="84" t="n"/>
      <c r="M109" s="84" t="n"/>
      <c r="N109" s="84" t="n"/>
      <c r="O109" s="84" t="n"/>
      <c r="P109" s="84" t="n"/>
      <c r="Q109" s="84" t="n"/>
    </row>
    <row r="110" ht="13.9" customHeight="1">
      <c r="A110" s="84" t="n"/>
      <c r="B110" s="84" t="n"/>
      <c r="C110" s="84" t="n"/>
      <c r="D110" s="84" t="n"/>
      <c r="E110" s="84" t="n"/>
      <c r="F110" s="84" t="n"/>
      <c r="G110" s="84" t="n"/>
      <c r="H110" s="84" t="n"/>
      <c r="I110" s="84" t="n"/>
      <c r="J110" s="84" t="n"/>
      <c r="K110" s="84" t="n"/>
      <c r="L110" s="84" t="n"/>
      <c r="M110" s="84" t="n"/>
      <c r="N110" s="84" t="n"/>
      <c r="O110" s="84" t="n"/>
      <c r="P110" s="84" t="n"/>
      <c r="Q110" s="84" t="n"/>
    </row>
    <row r="111" ht="13.9" customHeight="1">
      <c r="A111" s="84" t="n"/>
      <c r="B111" s="84" t="n"/>
      <c r="C111" s="84" t="n"/>
      <c r="D111" s="84" t="n"/>
      <c r="E111" s="84" t="n"/>
      <c r="F111" s="84" t="n"/>
      <c r="G111" s="84" t="n"/>
      <c r="H111" s="84" t="n"/>
      <c r="I111" s="84" t="n"/>
      <c r="J111" s="84" t="n"/>
      <c r="K111" s="84" t="n"/>
      <c r="L111" s="84" t="n"/>
      <c r="M111" s="84" t="n"/>
      <c r="N111" s="84" t="n"/>
      <c r="O111" s="84" t="n"/>
      <c r="P111" s="84" t="n"/>
      <c r="Q111" s="84" t="n"/>
    </row>
    <row r="112" ht="13.9" customHeight="1">
      <c r="A112" s="84" t="n"/>
      <c r="B112" s="84" t="n"/>
      <c r="C112" s="84" t="n"/>
      <c r="D112" s="84" t="n"/>
      <c r="E112" s="84" t="n"/>
      <c r="F112" s="84" t="n"/>
      <c r="G112" s="84" t="n"/>
      <c r="H112" s="84" t="n"/>
      <c r="I112" s="84" t="n"/>
      <c r="J112" s="84" t="n"/>
      <c r="K112" s="84" t="n"/>
      <c r="L112" s="84" t="n"/>
      <c r="M112" s="84" t="n"/>
      <c r="N112" s="84" t="n"/>
      <c r="O112" s="84" t="n"/>
      <c r="P112" s="84" t="n"/>
      <c r="Q112" s="84" t="n"/>
    </row>
    <row r="113" ht="13.9" customHeight="1">
      <c r="A113" s="84" t="n"/>
      <c r="B113" s="84" t="n"/>
      <c r="C113" s="84" t="n"/>
      <c r="D113" s="84" t="n"/>
      <c r="E113" s="84" t="n"/>
      <c r="F113" s="84" t="n"/>
      <c r="G113" s="84" t="n"/>
      <c r="H113" s="84" t="n"/>
      <c r="I113" s="84" t="n"/>
      <c r="J113" s="84" t="n"/>
      <c r="K113" s="84" t="n"/>
      <c r="L113" s="84" t="n"/>
      <c r="M113" s="84" t="n"/>
      <c r="N113" s="84" t="n"/>
      <c r="O113" s="84" t="n"/>
      <c r="P113" s="84" t="n"/>
      <c r="Q113" s="84" t="n"/>
    </row>
    <row r="114" ht="13.9" customHeight="1">
      <c r="A114" s="84" t="n"/>
      <c r="B114" s="84" t="n"/>
      <c r="C114" s="84" t="n"/>
      <c r="D114" s="84" t="n"/>
      <c r="E114" s="84" t="n"/>
      <c r="F114" s="84" t="n"/>
      <c r="G114" s="84" t="n"/>
      <c r="H114" s="84" t="n"/>
      <c r="I114" s="84" t="n"/>
      <c r="J114" s="84" t="n"/>
      <c r="K114" s="84" t="n"/>
      <c r="L114" s="84" t="n"/>
      <c r="M114" s="84" t="n"/>
      <c r="N114" s="84" t="n"/>
      <c r="O114" s="84" t="n"/>
      <c r="P114" s="84" t="n"/>
      <c r="Q114" s="84" t="n"/>
    </row>
    <row r="115" ht="13.9" customHeight="1">
      <c r="A115" s="84" t="n"/>
      <c r="B115" s="84" t="n"/>
      <c r="C115" s="84" t="n"/>
      <c r="D115" s="84" t="n"/>
      <c r="E115" s="84" t="n"/>
      <c r="F115" s="84" t="n"/>
      <c r="G115" s="84" t="n"/>
      <c r="H115" s="84" t="n"/>
      <c r="I115" s="84" t="n"/>
      <c r="J115" s="84" t="n"/>
      <c r="K115" s="84" t="n"/>
      <c r="L115" s="84" t="n"/>
      <c r="M115" s="84" t="n"/>
      <c r="N115" s="84" t="n"/>
      <c r="O115" s="84" t="n"/>
      <c r="P115" s="84" t="n"/>
      <c r="Q115" s="84" t="n"/>
    </row>
    <row r="116" ht="13.9" customHeight="1">
      <c r="A116" s="84" t="n"/>
      <c r="B116" s="84" t="n"/>
      <c r="C116" s="84" t="n"/>
      <c r="D116" s="84" t="n"/>
      <c r="E116" s="84" t="n"/>
      <c r="F116" s="84" t="n"/>
      <c r="G116" s="84" t="n"/>
      <c r="H116" s="84" t="n"/>
      <c r="I116" s="84" t="n"/>
      <c r="J116" s="84" t="n"/>
      <c r="K116" s="84" t="n"/>
      <c r="L116" s="84" t="n"/>
      <c r="M116" s="84" t="n"/>
      <c r="N116" s="84" t="n"/>
      <c r="O116" s="84" t="n"/>
      <c r="P116" s="84" t="n"/>
      <c r="Q116" s="84" t="n"/>
    </row>
    <row r="117" ht="13.9" customHeight="1">
      <c r="A117" s="84" t="n"/>
      <c r="B117" s="84" t="n"/>
      <c r="C117" s="84" t="n"/>
      <c r="D117" s="84" t="n"/>
      <c r="E117" s="84" t="n"/>
      <c r="F117" s="84" t="n"/>
      <c r="G117" s="84" t="n"/>
      <c r="H117" s="84" t="n"/>
      <c r="I117" s="84" t="n"/>
      <c r="J117" s="84" t="n"/>
      <c r="K117" s="84" t="n"/>
      <c r="L117" s="84" t="n"/>
      <c r="M117" s="84" t="n"/>
      <c r="N117" s="84" t="n"/>
      <c r="O117" s="84" t="n"/>
      <c r="P117" s="84" t="n"/>
      <c r="Q117" s="84" t="n"/>
    </row>
    <row r="118" ht="13.9" customHeight="1">
      <c r="A118" s="84" t="n"/>
      <c r="B118" s="84" t="n"/>
      <c r="C118" s="84" t="n"/>
      <c r="D118" s="84" t="n"/>
      <c r="E118" s="84" t="n"/>
      <c r="F118" s="84" t="n"/>
      <c r="G118" s="84" t="n"/>
      <c r="H118" s="84" t="n"/>
      <c r="I118" s="84" t="n"/>
      <c r="J118" s="84" t="n"/>
      <c r="K118" s="84" t="n"/>
      <c r="L118" s="84" t="n"/>
      <c r="M118" s="84" t="n"/>
      <c r="N118" s="84" t="n"/>
      <c r="O118" s="84" t="n"/>
      <c r="P118" s="84" t="n"/>
      <c r="Q118" s="84" t="n"/>
    </row>
    <row r="119" ht="13.9" customHeight="1">
      <c r="A119" s="84" t="n"/>
      <c r="B119" s="84" t="n"/>
      <c r="C119" s="84" t="n"/>
      <c r="D119" s="84" t="n"/>
      <c r="E119" s="84" t="n"/>
      <c r="F119" s="84" t="n"/>
      <c r="G119" s="84" t="n"/>
      <c r="H119" s="84" t="n"/>
      <c r="I119" s="84" t="n"/>
      <c r="J119" s="84" t="n"/>
      <c r="K119" s="84" t="n"/>
      <c r="L119" s="84" t="n"/>
      <c r="M119" s="84" t="n"/>
      <c r="N119" s="84" t="n"/>
      <c r="O119" s="84" t="n"/>
      <c r="P119" s="84" t="n"/>
      <c r="Q119" s="84" t="n"/>
    </row>
    <row r="120" ht="13.9" customHeight="1">
      <c r="A120" s="84" t="n"/>
      <c r="B120" s="84" t="n"/>
      <c r="C120" s="84" t="n"/>
      <c r="D120" s="84" t="n"/>
      <c r="E120" s="84" t="n"/>
      <c r="F120" s="84" t="n"/>
      <c r="G120" s="84" t="n"/>
      <c r="H120" s="84" t="n"/>
      <c r="I120" s="84" t="n"/>
      <c r="J120" s="84" t="n"/>
      <c r="K120" s="84" t="n"/>
      <c r="L120" s="84" t="n"/>
      <c r="M120" s="84" t="n"/>
      <c r="N120" s="84" t="n"/>
      <c r="O120" s="84" t="n"/>
      <c r="P120" s="84" t="n"/>
      <c r="Q120" s="84" t="n"/>
    </row>
    <row r="121" ht="13.9" customHeight="1">
      <c r="A121" s="84" t="n"/>
      <c r="B121" s="84" t="n"/>
      <c r="C121" s="84" t="n"/>
      <c r="D121" s="84" t="n"/>
      <c r="E121" s="84" t="n"/>
      <c r="F121" s="84" t="n"/>
      <c r="G121" s="84" t="n"/>
      <c r="H121" s="84" t="n"/>
      <c r="I121" s="84" t="n"/>
      <c r="J121" s="84" t="n"/>
      <c r="K121" s="84" t="n"/>
      <c r="L121" s="84" t="n"/>
      <c r="M121" s="84" t="n"/>
      <c r="N121" s="84" t="n"/>
      <c r="O121" s="84" t="n"/>
      <c r="P121" s="84" t="n"/>
      <c r="Q121" s="84" t="n"/>
    </row>
    <row r="122" ht="13.9" customHeight="1">
      <c r="A122" s="84" t="n"/>
      <c r="B122" s="84" t="n"/>
      <c r="C122" s="84" t="n"/>
      <c r="D122" s="84" t="n"/>
      <c r="E122" s="84" t="n"/>
      <c r="F122" s="84" t="n"/>
      <c r="G122" s="84" t="n"/>
      <c r="H122" s="84" t="n"/>
      <c r="I122" s="84" t="n"/>
      <c r="J122" s="84" t="n"/>
      <c r="K122" s="84" t="n"/>
      <c r="L122" s="84" t="n"/>
      <c r="M122" s="84" t="n"/>
      <c r="N122" s="84" t="n"/>
      <c r="O122" s="84" t="n"/>
      <c r="P122" s="84" t="n"/>
      <c r="Q122" s="84" t="n"/>
    </row>
    <row r="123" ht="13.9" customHeight="1">
      <c r="A123" s="84" t="n"/>
      <c r="B123" s="84" t="n"/>
      <c r="C123" s="84" t="n"/>
      <c r="D123" s="84" t="n"/>
      <c r="E123" s="84" t="n"/>
      <c r="F123" s="84" t="n"/>
      <c r="G123" s="84" t="n"/>
      <c r="H123" s="84" t="n"/>
      <c r="I123" s="84" t="n"/>
      <c r="J123" s="84" t="n"/>
      <c r="K123" s="84" t="n"/>
      <c r="L123" s="84" t="n"/>
      <c r="M123" s="84" t="n"/>
      <c r="N123" s="84" t="n"/>
      <c r="O123" s="84" t="n"/>
      <c r="P123" s="84" t="n"/>
      <c r="Q123" s="84" t="n"/>
    </row>
    <row r="124" ht="13.9" customHeight="1">
      <c r="A124" s="84" t="n"/>
      <c r="B124" s="84" t="n"/>
      <c r="C124" s="84" t="n"/>
      <c r="D124" s="84" t="n"/>
      <c r="E124" s="84" t="n"/>
      <c r="F124" s="84" t="n"/>
      <c r="G124" s="84" t="n"/>
      <c r="H124" s="84" t="n"/>
      <c r="I124" s="84" t="n"/>
      <c r="J124" s="84" t="n"/>
      <c r="K124" s="84" t="n"/>
      <c r="L124" s="84" t="n"/>
      <c r="M124" s="84" t="n"/>
      <c r="N124" s="84" t="n"/>
      <c r="O124" s="84" t="n"/>
      <c r="P124" s="84" t="n"/>
      <c r="Q124" s="84" t="n"/>
    </row>
    <row r="125" ht="13.9" customHeight="1">
      <c r="A125" s="84" t="n"/>
      <c r="B125" s="84" t="n"/>
      <c r="C125" s="84" t="n"/>
      <c r="D125" s="84" t="n"/>
      <c r="E125" s="84" t="n"/>
      <c r="F125" s="84" t="n"/>
      <c r="G125" s="84" t="n"/>
      <c r="H125" s="84" t="n"/>
      <c r="I125" s="84" t="n"/>
      <c r="J125" s="84" t="n"/>
      <c r="K125" s="84" t="n"/>
      <c r="L125" s="84" t="n"/>
      <c r="M125" s="84" t="n"/>
      <c r="N125" s="84" t="n"/>
      <c r="O125" s="84" t="n"/>
      <c r="P125" s="84" t="n"/>
      <c r="Q125" s="84" t="n"/>
    </row>
    <row r="126" ht="13.9" customHeight="1">
      <c r="A126" s="84" t="n"/>
      <c r="B126" s="84" t="n"/>
      <c r="C126" s="84" t="n"/>
      <c r="D126" s="84" t="n"/>
      <c r="E126" s="84" t="n"/>
      <c r="F126" s="84" t="n"/>
      <c r="G126" s="84" t="n"/>
      <c r="H126" s="84" t="n"/>
      <c r="I126" s="84" t="n"/>
      <c r="J126" s="84" t="n"/>
      <c r="K126" s="84" t="n"/>
      <c r="L126" s="84" t="n"/>
      <c r="M126" s="84" t="n"/>
      <c r="N126" s="84" t="n"/>
      <c r="O126" s="84" t="n"/>
      <c r="P126" s="84" t="n"/>
      <c r="Q126" s="84" t="n"/>
    </row>
    <row r="127" ht="13.9" customHeight="1">
      <c r="A127" s="84" t="n"/>
      <c r="B127" s="84" t="n"/>
      <c r="C127" s="84" t="n"/>
      <c r="D127" s="84" t="n"/>
      <c r="E127" s="84" t="n"/>
      <c r="F127" s="84" t="n"/>
      <c r="G127" s="84" t="n"/>
      <c r="H127" s="84" t="n"/>
      <c r="I127" s="84" t="n"/>
      <c r="J127" s="84" t="n"/>
      <c r="K127" s="84" t="n"/>
      <c r="L127" s="84" t="n"/>
      <c r="M127" s="84" t="n"/>
      <c r="N127" s="84" t="n"/>
      <c r="O127" s="84" t="n"/>
      <c r="P127" s="84" t="n"/>
      <c r="Q127" s="84" t="n"/>
    </row>
    <row r="128" ht="13.9" customHeight="1">
      <c r="A128" s="84" t="n"/>
      <c r="B128" s="84" t="n"/>
      <c r="C128" s="84" t="n"/>
      <c r="D128" s="84" t="n"/>
      <c r="E128" s="84" t="n"/>
      <c r="F128" s="84" t="n"/>
      <c r="G128" s="84" t="n"/>
      <c r="H128" s="84" t="n"/>
      <c r="I128" s="84" t="n"/>
      <c r="J128" s="84" t="n"/>
      <c r="K128" s="84" t="n"/>
      <c r="L128" s="84" t="n"/>
      <c r="M128" s="84" t="n"/>
      <c r="N128" s="84" t="n"/>
      <c r="O128" s="84" t="n"/>
      <c r="P128" s="84" t="n"/>
      <c r="Q128" s="84" t="n"/>
    </row>
    <row r="129" ht="13.9" customHeight="1">
      <c r="A129" s="84" t="n"/>
      <c r="B129" s="84" t="n"/>
      <c r="C129" s="84" t="n"/>
      <c r="D129" s="84" t="n"/>
      <c r="E129" s="84" t="n"/>
      <c r="F129" s="84" t="n"/>
      <c r="G129" s="84" t="n"/>
      <c r="H129" s="84" t="n"/>
      <c r="I129" s="84" t="n"/>
      <c r="J129" s="84" t="n"/>
      <c r="K129" s="84" t="n"/>
      <c r="L129" s="84" t="n"/>
      <c r="M129" s="84" t="n"/>
      <c r="N129" s="84" t="n"/>
      <c r="O129" s="84" t="n"/>
      <c r="P129" s="84" t="n"/>
      <c r="Q129" s="84" t="n"/>
    </row>
    <row r="130" ht="13.9" customHeight="1">
      <c r="A130" s="84" t="n"/>
      <c r="B130" s="84" t="n"/>
      <c r="C130" s="84" t="n"/>
      <c r="D130" s="84" t="n"/>
      <c r="E130" s="84" t="n"/>
      <c r="F130" s="84" t="n"/>
      <c r="G130" s="84" t="n"/>
      <c r="H130" s="84" t="n"/>
      <c r="I130" s="84" t="n"/>
      <c r="J130" s="84" t="n"/>
      <c r="K130" s="84" t="n"/>
      <c r="L130" s="84" t="n"/>
      <c r="M130" s="84" t="n"/>
      <c r="N130" s="84" t="n"/>
      <c r="O130" s="84" t="n"/>
      <c r="P130" s="84" t="n"/>
      <c r="Q130" s="84" t="n"/>
    </row>
    <row r="131" ht="13.9" customHeight="1">
      <c r="A131" s="84" t="n"/>
      <c r="B131" s="84" t="n"/>
      <c r="C131" s="84" t="n"/>
      <c r="D131" s="84" t="n"/>
      <c r="E131" s="84" t="n"/>
      <c r="F131" s="84" t="n"/>
      <c r="G131" s="84" t="n"/>
      <c r="H131" s="84" t="n"/>
      <c r="I131" s="84" t="n"/>
      <c r="J131" s="84" t="n"/>
      <c r="K131" s="84" t="n"/>
      <c r="L131" s="84" t="n"/>
      <c r="M131" s="84" t="n"/>
      <c r="N131" s="84" t="n"/>
      <c r="O131" s="84" t="n"/>
      <c r="P131" s="84" t="n"/>
      <c r="Q131" s="84" t="n"/>
    </row>
    <row r="132" ht="13.9" customHeight="1">
      <c r="A132" s="84" t="n"/>
      <c r="B132" s="84" t="n"/>
      <c r="C132" s="84" t="n"/>
      <c r="D132" s="84" t="n"/>
      <c r="E132" s="84" t="n"/>
      <c r="F132" s="84" t="n"/>
      <c r="G132" s="84" t="n"/>
      <c r="H132" s="84" t="n"/>
      <c r="I132" s="84" t="n"/>
      <c r="J132" s="84" t="n"/>
      <c r="K132" s="84" t="n"/>
      <c r="L132" s="84" t="n"/>
      <c r="M132" s="84" t="n"/>
      <c r="N132" s="84" t="n"/>
      <c r="O132" s="84" t="n"/>
      <c r="P132" s="84" t="n"/>
      <c r="Q132" s="84" t="n"/>
    </row>
    <row r="133" ht="13.9" customHeight="1">
      <c r="A133" s="84" t="n"/>
      <c r="B133" s="84" t="n"/>
      <c r="C133" s="84" t="n"/>
      <c r="D133" s="84" t="n"/>
      <c r="E133" s="84" t="n"/>
      <c r="F133" s="84" t="n"/>
      <c r="G133" s="84" t="n"/>
      <c r="H133" s="84" t="n"/>
      <c r="I133" s="84" t="n"/>
      <c r="J133" s="84" t="n"/>
      <c r="K133" s="84" t="n"/>
      <c r="L133" s="84" t="n"/>
      <c r="M133" s="84" t="n"/>
      <c r="N133" s="84" t="n"/>
      <c r="O133" s="84" t="n"/>
      <c r="P133" s="84" t="n"/>
      <c r="Q133" s="84" t="n"/>
    </row>
    <row r="134" ht="13.9" customHeight="1">
      <c r="A134" s="84" t="n"/>
      <c r="B134" s="84" t="n"/>
      <c r="C134" s="84" t="n"/>
      <c r="D134" s="84" t="n"/>
      <c r="E134" s="84" t="n"/>
      <c r="F134" s="84" t="n"/>
      <c r="G134" s="84" t="n"/>
      <c r="H134" s="84" t="n"/>
      <c r="I134" s="84" t="n"/>
      <c r="J134" s="84" t="n"/>
      <c r="K134" s="84" t="n"/>
      <c r="L134" s="84" t="n"/>
      <c r="M134" s="84" t="n"/>
      <c r="N134" s="84" t="n"/>
      <c r="O134" s="84" t="n"/>
      <c r="P134" s="84" t="n"/>
      <c r="Q134" s="84" t="n"/>
    </row>
    <row r="135" ht="13.9" customHeight="1">
      <c r="A135" s="84" t="n"/>
      <c r="B135" s="84" t="n"/>
      <c r="C135" s="84" t="n"/>
      <c r="D135" s="84" t="n"/>
      <c r="E135" s="84" t="n"/>
      <c r="F135" s="84" t="n"/>
      <c r="G135" s="84" t="n"/>
      <c r="H135" s="84" t="n"/>
      <c r="I135" s="84" t="n"/>
      <c r="J135" s="84" t="n"/>
      <c r="K135" s="84" t="n"/>
      <c r="L135" s="84" t="n"/>
      <c r="M135" s="84" t="n"/>
      <c r="N135" s="84" t="n"/>
      <c r="O135" s="84" t="n"/>
      <c r="P135" s="84" t="n"/>
      <c r="Q135" s="84" t="n"/>
    </row>
    <row r="136" ht="13.9" customHeight="1">
      <c r="A136" s="84" t="n"/>
      <c r="B136" s="84" t="n"/>
      <c r="C136" s="84" t="n"/>
      <c r="D136" s="84" t="n"/>
      <c r="E136" s="84" t="n"/>
      <c r="F136" s="84" t="n"/>
      <c r="G136" s="84" t="n"/>
      <c r="H136" s="84" t="n"/>
      <c r="I136" s="84" t="n"/>
      <c r="J136" s="84" t="n"/>
      <c r="K136" s="84" t="n"/>
      <c r="L136" s="84" t="n"/>
      <c r="M136" s="84" t="n"/>
      <c r="N136" s="84" t="n"/>
      <c r="O136" s="84" t="n"/>
      <c r="P136" s="84" t="n"/>
      <c r="Q136" s="84" t="n"/>
    </row>
    <row r="137" ht="13.9" customHeight="1">
      <c r="A137" s="84" t="n"/>
      <c r="B137" s="84" t="n"/>
      <c r="C137" s="84" t="n"/>
      <c r="D137" s="84" t="n"/>
      <c r="E137" s="84" t="n"/>
      <c r="F137" s="84" t="n"/>
      <c r="G137" s="84" t="n"/>
      <c r="H137" s="84" t="n"/>
      <c r="I137" s="84" t="n"/>
      <c r="J137" s="84" t="n"/>
      <c r="K137" s="84" t="n"/>
      <c r="L137" s="84" t="n"/>
      <c r="M137" s="84" t="n"/>
      <c r="N137" s="84" t="n"/>
      <c r="O137" s="84" t="n"/>
      <c r="P137" s="84" t="n"/>
      <c r="Q137" s="84" t="n"/>
    </row>
    <row r="138" ht="13.9" customHeight="1">
      <c r="A138" s="84" t="n"/>
      <c r="B138" s="84" t="n"/>
      <c r="C138" s="84" t="n"/>
      <c r="D138" s="84" t="n"/>
      <c r="E138" s="84" t="n"/>
      <c r="F138" s="84" t="n"/>
      <c r="G138" s="84" t="n"/>
      <c r="H138" s="84" t="n"/>
      <c r="I138" s="84" t="n"/>
      <c r="J138" s="84" t="n"/>
      <c r="K138" s="84" t="n"/>
      <c r="L138" s="84" t="n"/>
      <c r="M138" s="84" t="n"/>
      <c r="N138" s="84" t="n"/>
      <c r="O138" s="84" t="n"/>
      <c r="P138" s="84" t="n"/>
      <c r="Q138" s="84" t="n"/>
    </row>
    <row r="139" ht="13.9" customHeight="1">
      <c r="A139" s="84" t="n"/>
      <c r="B139" s="84" t="n"/>
      <c r="C139" s="84" t="n"/>
      <c r="D139" s="84" t="n"/>
      <c r="E139" s="84" t="n"/>
      <c r="F139" s="84" t="n"/>
      <c r="G139" s="84" t="n"/>
      <c r="H139" s="84" t="n"/>
      <c r="I139" s="84" t="n"/>
      <c r="J139" s="84" t="n"/>
      <c r="K139" s="84" t="n"/>
      <c r="L139" s="84" t="n"/>
      <c r="M139" s="84" t="n"/>
      <c r="N139" s="84" t="n"/>
      <c r="O139" s="84" t="n"/>
      <c r="P139" s="84" t="n"/>
      <c r="Q139" s="84" t="n"/>
    </row>
    <row r="140" ht="13.9" customHeight="1">
      <c r="A140" s="84" t="n"/>
      <c r="B140" s="84" t="n"/>
      <c r="C140" s="84" t="n"/>
      <c r="D140" s="84" t="n"/>
      <c r="E140" s="84" t="n"/>
      <c r="F140" s="84" t="n"/>
      <c r="G140" s="84" t="n"/>
      <c r="H140" s="84" t="n"/>
      <c r="I140" s="84" t="n"/>
      <c r="J140" s="84" t="n"/>
      <c r="K140" s="84" t="n"/>
      <c r="L140" s="84" t="n"/>
      <c r="M140" s="84" t="n"/>
      <c r="N140" s="84" t="n"/>
      <c r="O140" s="84" t="n"/>
      <c r="P140" s="84" t="n"/>
      <c r="Q140" s="84" t="n"/>
    </row>
    <row r="141" ht="13.9" customHeight="1">
      <c r="A141" s="84" t="n"/>
      <c r="B141" s="84" t="n"/>
      <c r="C141" s="84" t="n"/>
      <c r="D141" s="84" t="n"/>
      <c r="E141" s="84" t="n"/>
      <c r="F141" s="84" t="n"/>
      <c r="G141" s="84" t="n"/>
      <c r="H141" s="84" t="n"/>
      <c r="I141" s="84" t="n"/>
      <c r="J141" s="84" t="n"/>
      <c r="K141" s="84" t="n"/>
      <c r="L141" s="84" t="n"/>
      <c r="M141" s="84" t="n"/>
      <c r="N141" s="84" t="n"/>
      <c r="O141" s="84" t="n"/>
      <c r="P141" s="84" t="n"/>
      <c r="Q141" s="84" t="n"/>
    </row>
    <row r="142" ht="13.9" customHeight="1">
      <c r="A142" s="84" t="n"/>
      <c r="B142" s="84" t="n"/>
      <c r="C142" s="84" t="n"/>
      <c r="D142" s="84" t="n"/>
      <c r="E142" s="84" t="n"/>
      <c r="F142" s="84" t="n"/>
      <c r="G142" s="84" t="n"/>
      <c r="H142" s="84" t="n"/>
      <c r="I142" s="84" t="n"/>
      <c r="J142" s="84" t="n"/>
      <c r="K142" s="84" t="n"/>
      <c r="L142" s="84" t="n"/>
      <c r="M142" s="84" t="n"/>
      <c r="N142" s="84" t="n"/>
      <c r="O142" s="84" t="n"/>
      <c r="P142" s="84" t="n"/>
      <c r="Q142" s="84" t="n"/>
    </row>
    <row r="143" ht="13.9" customHeight="1">
      <c r="A143" s="84" t="n"/>
      <c r="B143" s="84" t="n"/>
      <c r="C143" s="84" t="n"/>
      <c r="D143" s="84" t="n"/>
      <c r="E143" s="84" t="n"/>
      <c r="F143" s="84" t="n"/>
      <c r="G143" s="84" t="n"/>
      <c r="H143" s="84" t="n"/>
      <c r="I143" s="84" t="n"/>
      <c r="J143" s="84" t="n"/>
      <c r="K143" s="84" t="n"/>
      <c r="L143" s="84" t="n"/>
      <c r="M143" s="84" t="n"/>
      <c r="N143" s="84" t="n"/>
      <c r="O143" s="84" t="n"/>
      <c r="P143" s="84" t="n"/>
      <c r="Q143" s="84" t="n"/>
    </row>
    <row r="144" ht="13.9" customHeight="1">
      <c r="A144" s="84" t="n"/>
      <c r="B144" s="84" t="n"/>
      <c r="C144" s="84" t="n"/>
      <c r="D144" s="84" t="n"/>
      <c r="E144" s="84" t="n"/>
      <c r="F144" s="84" t="n"/>
      <c r="G144" s="84" t="n"/>
      <c r="H144" s="84" t="n"/>
      <c r="I144" s="84" t="n"/>
      <c r="J144" s="84" t="n"/>
      <c r="K144" s="84" t="n"/>
      <c r="L144" s="84" t="n"/>
      <c r="M144" s="84" t="n"/>
      <c r="N144" s="84" t="n"/>
      <c r="O144" s="84" t="n"/>
      <c r="P144" s="84" t="n"/>
      <c r="Q144" s="84" t="n"/>
    </row>
    <row r="145" ht="13.9" customHeight="1">
      <c r="A145" s="84" t="n"/>
      <c r="B145" s="84" t="n"/>
      <c r="C145" s="84" t="n"/>
      <c r="D145" s="84" t="n"/>
      <c r="E145" s="84" t="n"/>
      <c r="F145" s="84" t="n"/>
      <c r="G145" s="84" t="n"/>
      <c r="H145" s="84" t="n"/>
      <c r="I145" s="84" t="n"/>
      <c r="J145" s="84" t="n"/>
      <c r="K145" s="84" t="n"/>
      <c r="L145" s="84" t="n"/>
      <c r="M145" s="84" t="n"/>
      <c r="N145" s="84" t="n"/>
      <c r="O145" s="84" t="n"/>
      <c r="P145" s="84" t="n"/>
      <c r="Q145" s="84" t="n"/>
    </row>
    <row r="146" ht="13.9" customHeight="1">
      <c r="A146" s="84" t="n"/>
      <c r="B146" s="84" t="n"/>
      <c r="C146" s="84" t="n"/>
      <c r="D146" s="84" t="n"/>
      <c r="E146" s="84" t="n"/>
      <c r="F146" s="84" t="n"/>
      <c r="G146" s="84" t="n"/>
      <c r="H146" s="84" t="n"/>
      <c r="I146" s="84" t="n"/>
      <c r="J146" s="84" t="n"/>
      <c r="K146" s="84" t="n"/>
      <c r="L146" s="84" t="n"/>
      <c r="M146" s="84" t="n"/>
      <c r="N146" s="84" t="n"/>
      <c r="O146" s="84" t="n"/>
      <c r="P146" s="84" t="n"/>
      <c r="Q146" s="84" t="n"/>
    </row>
    <row r="147" ht="13.9" customHeight="1">
      <c r="A147" s="84" t="n"/>
      <c r="B147" s="84" t="n"/>
      <c r="C147" s="84" t="n"/>
      <c r="D147" s="84" t="n"/>
      <c r="E147" s="84" t="n"/>
      <c r="F147" s="84" t="n"/>
      <c r="G147" s="84" t="n"/>
      <c r="H147" s="84" t="n"/>
      <c r="I147" s="84" t="n"/>
      <c r="J147" s="84" t="n"/>
      <c r="K147" s="84" t="n"/>
      <c r="L147" s="84" t="n"/>
      <c r="M147" s="84" t="n"/>
      <c r="N147" s="84" t="n"/>
      <c r="O147" s="84" t="n"/>
      <c r="P147" s="84" t="n"/>
      <c r="Q147" s="84" t="n"/>
    </row>
    <row r="148" ht="13.9" customHeight="1">
      <c r="A148" s="84" t="n"/>
      <c r="B148" s="84" t="n"/>
      <c r="C148" s="84" t="n"/>
      <c r="D148" s="84" t="n"/>
      <c r="E148" s="84" t="n"/>
      <c r="F148" s="84" t="n"/>
      <c r="G148" s="84" t="n"/>
      <c r="H148" s="84" t="n"/>
      <c r="I148" s="84" t="n"/>
      <c r="J148" s="84" t="n"/>
      <c r="K148" s="84" t="n"/>
      <c r="L148" s="84" t="n"/>
      <c r="M148" s="84" t="n"/>
      <c r="N148" s="84" t="n"/>
      <c r="O148" s="84" t="n"/>
      <c r="P148" s="84" t="n"/>
      <c r="Q148" s="84" t="n"/>
    </row>
    <row r="149" ht="13.9" customHeight="1">
      <c r="A149" s="84" t="n"/>
      <c r="B149" s="84" t="n"/>
      <c r="C149" s="84" t="n"/>
      <c r="D149" s="84" t="n"/>
      <c r="E149" s="84" t="n"/>
      <c r="F149" s="84" t="n"/>
      <c r="G149" s="84" t="n"/>
      <c r="H149" s="84" t="n"/>
      <c r="I149" s="84" t="n"/>
      <c r="J149" s="84" t="n"/>
      <c r="K149" s="84" t="n"/>
      <c r="L149" s="84" t="n"/>
      <c r="M149" s="84" t="n"/>
      <c r="N149" s="84" t="n"/>
      <c r="O149" s="84" t="n"/>
      <c r="P149" s="84" t="n"/>
      <c r="Q149" s="84" t="n"/>
    </row>
    <row r="150" ht="13.9" customHeight="1">
      <c r="A150" s="84" t="n"/>
      <c r="B150" s="84" t="n"/>
      <c r="C150" s="84" t="n"/>
      <c r="D150" s="84" t="n"/>
      <c r="E150" s="84" t="n"/>
      <c r="F150" s="84" t="n"/>
      <c r="G150" s="84" t="n"/>
      <c r="H150" s="84" t="n"/>
      <c r="I150" s="84" t="n"/>
      <c r="J150" s="84" t="n"/>
      <c r="K150" s="84" t="n"/>
      <c r="L150" s="84" t="n"/>
      <c r="M150" s="84" t="n"/>
      <c r="N150" s="84" t="n"/>
      <c r="O150" s="84" t="n"/>
      <c r="P150" s="84" t="n"/>
      <c r="Q150" s="84" t="n"/>
    </row>
    <row r="151" ht="13.9" customHeight="1">
      <c r="A151" s="84" t="n"/>
      <c r="B151" s="84" t="n"/>
      <c r="C151" s="84" t="n"/>
      <c r="D151" s="84" t="n"/>
      <c r="E151" s="84" t="n"/>
      <c r="F151" s="84" t="n"/>
      <c r="G151" s="84" t="n"/>
      <c r="H151" s="84" t="n"/>
      <c r="I151" s="84" t="n"/>
      <c r="J151" s="84" t="n"/>
      <c r="K151" s="84" t="n"/>
      <c r="L151" s="84" t="n"/>
      <c r="M151" s="84" t="n"/>
      <c r="N151" s="84" t="n"/>
      <c r="O151" s="84" t="n"/>
      <c r="P151" s="84" t="n"/>
      <c r="Q151" s="84" t="n"/>
    </row>
    <row r="152" ht="13.9" customHeight="1">
      <c r="A152" s="84" t="n"/>
      <c r="B152" s="84" t="n"/>
      <c r="C152" s="84" t="n"/>
      <c r="D152" s="84" t="n"/>
      <c r="E152" s="84" t="n"/>
      <c r="F152" s="84" t="n"/>
      <c r="G152" s="84" t="n"/>
      <c r="H152" s="84" t="n"/>
      <c r="I152" s="84" t="n"/>
      <c r="J152" s="84" t="n"/>
      <c r="K152" s="84" t="n"/>
      <c r="L152" s="84" t="n"/>
      <c r="M152" s="84" t="n"/>
      <c r="N152" s="84" t="n"/>
      <c r="O152" s="84" t="n"/>
      <c r="P152" s="84" t="n"/>
      <c r="Q152" s="84" t="n"/>
    </row>
    <row r="153" ht="13.9" customHeight="1">
      <c r="A153" s="84" t="n"/>
      <c r="B153" s="84" t="n"/>
      <c r="C153" s="84" t="n"/>
      <c r="D153" s="84" t="n"/>
      <c r="E153" s="84" t="n"/>
      <c r="F153" s="84" t="n"/>
      <c r="G153" s="84" t="n"/>
      <c r="H153" s="84" t="n"/>
      <c r="I153" s="84" t="n"/>
      <c r="J153" s="84" t="n"/>
      <c r="K153" s="84" t="n"/>
      <c r="L153" s="84" t="n"/>
      <c r="M153" s="84" t="n"/>
      <c r="N153" s="84" t="n"/>
      <c r="O153" s="84" t="n"/>
      <c r="P153" s="84" t="n"/>
      <c r="Q153" s="84" t="n"/>
    </row>
    <row r="154" ht="13.9" customHeight="1">
      <c r="A154" s="84" t="n"/>
      <c r="B154" s="84" t="n"/>
      <c r="C154" s="84" t="n"/>
      <c r="D154" s="84" t="n"/>
      <c r="E154" s="84" t="n"/>
      <c r="F154" s="84" t="n"/>
      <c r="G154" s="84" t="n"/>
      <c r="H154" s="84" t="n"/>
      <c r="I154" s="84" t="n"/>
      <c r="J154" s="84" t="n"/>
      <c r="K154" s="84" t="n"/>
      <c r="L154" s="84" t="n"/>
      <c r="M154" s="84" t="n"/>
      <c r="N154" s="84" t="n"/>
      <c r="O154" s="84" t="n"/>
      <c r="P154" s="84" t="n"/>
      <c r="Q154" s="84" t="n"/>
    </row>
    <row r="155" ht="13.9" customHeight="1">
      <c r="A155" s="84" t="n"/>
      <c r="B155" s="84" t="n"/>
      <c r="C155" s="84" t="n"/>
      <c r="D155" s="84" t="n"/>
      <c r="E155" s="84" t="n"/>
      <c r="F155" s="84" t="n"/>
      <c r="G155" s="84" t="n"/>
      <c r="H155" s="84" t="n"/>
      <c r="I155" s="84" t="n"/>
      <c r="J155" s="84" t="n"/>
      <c r="K155" s="84" t="n"/>
      <c r="L155" s="84" t="n"/>
      <c r="M155" s="84" t="n"/>
      <c r="N155" s="84" t="n"/>
      <c r="O155" s="84" t="n"/>
      <c r="P155" s="84" t="n"/>
      <c r="Q155" s="84" t="n"/>
    </row>
    <row r="156" ht="13.9" customHeight="1">
      <c r="A156" s="84" t="n"/>
      <c r="B156" s="84" t="n"/>
      <c r="C156" s="84" t="n"/>
      <c r="D156" s="84" t="n"/>
      <c r="E156" s="84" t="n"/>
      <c r="F156" s="84" t="n"/>
      <c r="G156" s="84" t="n"/>
      <c r="H156" s="84" t="n"/>
      <c r="I156" s="84" t="n"/>
      <c r="J156" s="84" t="n"/>
      <c r="K156" s="84" t="n"/>
      <c r="L156" s="84" t="n"/>
      <c r="M156" s="84" t="n"/>
      <c r="N156" s="84" t="n"/>
      <c r="O156" s="84" t="n"/>
      <c r="P156" s="84" t="n"/>
      <c r="Q156" s="84" t="n"/>
    </row>
    <row r="157" ht="13.9" customHeight="1">
      <c r="A157" s="84" t="n"/>
      <c r="B157" s="84" t="n"/>
      <c r="C157" s="84" t="n"/>
      <c r="D157" s="84" t="n"/>
      <c r="E157" s="84" t="n"/>
      <c r="F157" s="84" t="n"/>
      <c r="G157" s="84" t="n"/>
      <c r="H157" s="84" t="n"/>
      <c r="I157" s="84" t="n"/>
      <c r="J157" s="84" t="n"/>
      <c r="K157" s="84" t="n"/>
      <c r="L157" s="84" t="n"/>
      <c r="M157" s="84" t="n"/>
      <c r="N157" s="84" t="n"/>
      <c r="O157" s="84" t="n"/>
      <c r="P157" s="84" t="n"/>
      <c r="Q157" s="84" t="n"/>
    </row>
    <row r="158" ht="13.9" customHeight="1">
      <c r="A158" s="84" t="n"/>
      <c r="B158" s="84" t="n"/>
      <c r="C158" s="84" t="n"/>
      <c r="D158" s="84" t="n"/>
      <c r="E158" s="84" t="n"/>
      <c r="F158" s="84" t="n"/>
      <c r="G158" s="84" t="n"/>
      <c r="H158" s="84" t="n"/>
      <c r="I158" s="84" t="n"/>
      <c r="J158" s="84" t="n"/>
      <c r="K158" s="84" t="n"/>
      <c r="L158" s="84" t="n"/>
      <c r="M158" s="84" t="n"/>
      <c r="N158" s="84" t="n"/>
      <c r="O158" s="84" t="n"/>
      <c r="P158" s="84" t="n"/>
      <c r="Q158" s="84" t="n"/>
    </row>
    <row r="159" ht="13.9" customHeight="1">
      <c r="A159" s="84" t="n"/>
      <c r="B159" s="84" t="n"/>
      <c r="C159" s="84" t="n"/>
      <c r="D159" s="84" t="n"/>
      <c r="E159" s="84" t="n"/>
      <c r="F159" s="84" t="n"/>
      <c r="G159" s="84" t="n"/>
      <c r="H159" s="84" t="n"/>
      <c r="I159" s="84" t="n"/>
      <c r="J159" s="84" t="n"/>
      <c r="K159" s="84" t="n"/>
      <c r="L159" s="84" t="n"/>
      <c r="M159" s="84" t="n"/>
      <c r="N159" s="84" t="n"/>
      <c r="O159" s="84" t="n"/>
      <c r="P159" s="84" t="n"/>
      <c r="Q159" s="84" t="n"/>
    </row>
    <row r="160" ht="13.9" customHeight="1">
      <c r="A160" s="84" t="n"/>
      <c r="B160" s="84" t="n"/>
      <c r="C160" s="84" t="n"/>
      <c r="D160" s="84" t="n"/>
      <c r="E160" s="84" t="n"/>
      <c r="F160" s="84" t="n"/>
      <c r="G160" s="84" t="n"/>
      <c r="H160" s="84" t="n"/>
      <c r="I160" s="84" t="n"/>
      <c r="J160" s="84" t="n"/>
      <c r="K160" s="84" t="n"/>
      <c r="L160" s="84" t="n"/>
      <c r="M160" s="84" t="n"/>
      <c r="N160" s="84" t="n"/>
      <c r="O160" s="84" t="n"/>
      <c r="P160" s="84" t="n"/>
      <c r="Q160" s="84" t="n"/>
    </row>
    <row r="161" ht="13.9" customHeight="1">
      <c r="A161" s="84" t="n"/>
      <c r="B161" s="84" t="n"/>
      <c r="C161" s="84" t="n"/>
      <c r="D161" s="84" t="n"/>
      <c r="E161" s="84" t="n"/>
      <c r="F161" s="84" t="n"/>
      <c r="G161" s="84" t="n"/>
      <c r="H161" s="84" t="n"/>
      <c r="I161" s="84" t="n"/>
      <c r="J161" s="84" t="n"/>
      <c r="K161" s="84" t="n"/>
      <c r="L161" s="84" t="n"/>
      <c r="M161" s="84" t="n"/>
      <c r="N161" s="84" t="n"/>
      <c r="O161" s="84" t="n"/>
      <c r="P161" s="84" t="n"/>
      <c r="Q161" s="84" t="n"/>
    </row>
    <row r="162" ht="13.9" customHeight="1">
      <c r="A162" s="84" t="n"/>
      <c r="B162" s="84" t="n"/>
      <c r="C162" s="84" t="n"/>
      <c r="D162" s="84" t="n"/>
      <c r="E162" s="84" t="n"/>
      <c r="F162" s="84" t="n"/>
      <c r="G162" s="84" t="n"/>
      <c r="H162" s="84" t="n"/>
      <c r="I162" s="84" t="n"/>
      <c r="J162" s="84" t="n"/>
      <c r="K162" s="84" t="n"/>
      <c r="L162" s="84" t="n"/>
      <c r="M162" s="84" t="n"/>
      <c r="N162" s="84" t="n"/>
      <c r="O162" s="84" t="n"/>
      <c r="P162" s="84" t="n"/>
      <c r="Q162" s="84" t="n"/>
    </row>
    <row r="163" ht="13.9" customHeight="1">
      <c r="A163" s="84" t="n"/>
      <c r="B163" s="84" t="n"/>
      <c r="C163" s="84" t="n"/>
      <c r="D163" s="84" t="n"/>
      <c r="E163" s="84" t="n"/>
      <c r="F163" s="84" t="n"/>
      <c r="G163" s="84" t="n"/>
      <c r="H163" s="84" t="n"/>
      <c r="I163" s="84" t="n"/>
      <c r="J163" s="84" t="n"/>
      <c r="K163" s="84" t="n"/>
      <c r="L163" s="84" t="n"/>
      <c r="M163" s="84" t="n"/>
      <c r="N163" s="84" t="n"/>
      <c r="O163" s="84" t="n"/>
      <c r="P163" s="84" t="n"/>
      <c r="Q163" s="84" t="n"/>
    </row>
    <row r="164" ht="13.9" customHeight="1">
      <c r="A164" s="84" t="n"/>
      <c r="B164" s="84" t="n"/>
      <c r="C164" s="84" t="n"/>
      <c r="D164" s="84" t="n"/>
      <c r="E164" s="84" t="n"/>
      <c r="F164" s="84" t="n"/>
      <c r="G164" s="84" t="n"/>
      <c r="H164" s="84" t="n"/>
      <c r="I164" s="84" t="n"/>
      <c r="J164" s="84" t="n"/>
      <c r="K164" s="84" t="n"/>
      <c r="L164" s="84" t="n"/>
      <c r="M164" s="84" t="n"/>
      <c r="N164" s="84" t="n"/>
      <c r="O164" s="84" t="n"/>
      <c r="P164" s="84" t="n"/>
      <c r="Q164" s="84" t="n"/>
    </row>
    <row r="165" ht="13.9" customHeight="1">
      <c r="A165" s="84" t="n"/>
      <c r="B165" s="84" t="n"/>
      <c r="C165" s="84" t="n"/>
      <c r="D165" s="84" t="n"/>
      <c r="E165" s="84" t="n"/>
      <c r="F165" s="84" t="n"/>
      <c r="G165" s="84" t="n"/>
      <c r="H165" s="84" t="n"/>
      <c r="I165" s="84" t="n"/>
      <c r="J165" s="84" t="n"/>
      <c r="K165" s="84" t="n"/>
      <c r="L165" s="84" t="n"/>
      <c r="M165" s="84" t="n"/>
      <c r="N165" s="84" t="n"/>
      <c r="O165" s="84" t="n"/>
      <c r="P165" s="84" t="n"/>
      <c r="Q165" s="84" t="n"/>
    </row>
    <row r="166" ht="13.9" customHeight="1">
      <c r="A166" s="84" t="n"/>
      <c r="B166" s="84" t="n"/>
      <c r="C166" s="84" t="n"/>
      <c r="D166" s="84" t="n"/>
      <c r="E166" s="84" t="n"/>
      <c r="F166" s="84" t="n"/>
      <c r="G166" s="84" t="n"/>
      <c r="H166" s="84" t="n"/>
      <c r="I166" s="84" t="n"/>
      <c r="J166" s="84" t="n"/>
      <c r="K166" s="84" t="n"/>
      <c r="L166" s="84" t="n"/>
      <c r="M166" s="84" t="n"/>
      <c r="N166" s="84" t="n"/>
      <c r="O166" s="84" t="n"/>
      <c r="P166" s="84" t="n"/>
      <c r="Q166" s="84" t="n"/>
    </row>
    <row r="167" ht="13.9" customHeight="1">
      <c r="A167" s="84" t="n"/>
      <c r="B167" s="84" t="n"/>
      <c r="C167" s="84" t="n"/>
      <c r="D167" s="84" t="n"/>
      <c r="E167" s="84" t="n"/>
      <c r="F167" s="84" t="n"/>
      <c r="G167" s="84" t="n"/>
      <c r="H167" s="84" t="n"/>
      <c r="I167" s="84" t="n"/>
      <c r="J167" s="84" t="n"/>
      <c r="K167" s="84" t="n"/>
      <c r="L167" s="84" t="n"/>
      <c r="M167" s="84" t="n"/>
      <c r="N167" s="84" t="n"/>
      <c r="O167" s="84" t="n"/>
      <c r="P167" s="84" t="n"/>
      <c r="Q167" s="84" t="n"/>
    </row>
    <row r="168" ht="13.9" customHeight="1">
      <c r="A168" s="84" t="n"/>
      <c r="B168" s="84" t="n"/>
      <c r="C168" s="84" t="n"/>
      <c r="D168" s="84" t="n"/>
      <c r="E168" s="84" t="n"/>
      <c r="F168" s="84" t="n"/>
      <c r="G168" s="84" t="n"/>
      <c r="H168" s="84" t="n"/>
      <c r="I168" s="84" t="n"/>
      <c r="J168" s="84" t="n"/>
      <c r="K168" s="84" t="n"/>
      <c r="L168" s="84" t="n"/>
      <c r="M168" s="84" t="n"/>
      <c r="N168" s="84" t="n"/>
      <c r="O168" s="84" t="n"/>
      <c r="P168" s="84" t="n"/>
      <c r="Q168" s="84" t="n"/>
    </row>
    <row r="169" ht="13.9" customHeight="1">
      <c r="A169" s="84" t="n"/>
      <c r="B169" s="84" t="n"/>
      <c r="C169" s="84" t="n"/>
      <c r="D169" s="84" t="n"/>
      <c r="E169" s="84" t="n"/>
      <c r="F169" s="84" t="n"/>
      <c r="G169" s="84" t="n"/>
      <c r="H169" s="84" t="n"/>
      <c r="I169" s="84" t="n"/>
      <c r="J169" s="84" t="n"/>
      <c r="K169" s="84" t="n"/>
      <c r="L169" s="84" t="n"/>
      <c r="M169" s="84" t="n"/>
      <c r="N169" s="84" t="n"/>
      <c r="O169" s="84" t="n"/>
      <c r="P169" s="84" t="n"/>
      <c r="Q169" s="84" t="n"/>
    </row>
    <row r="170" ht="13.9" customHeight="1">
      <c r="A170" s="84" t="n"/>
      <c r="B170" s="84" t="n"/>
      <c r="C170" s="84" t="n"/>
      <c r="D170" s="84" t="n"/>
      <c r="E170" s="84" t="n"/>
      <c r="F170" s="84" t="n"/>
      <c r="G170" s="84" t="n"/>
      <c r="H170" s="84" t="n"/>
      <c r="I170" s="84" t="n"/>
      <c r="J170" s="84" t="n"/>
      <c r="K170" s="84" t="n"/>
      <c r="L170" s="84" t="n"/>
      <c r="M170" s="84" t="n"/>
      <c r="N170" s="84" t="n"/>
      <c r="O170" s="84" t="n"/>
      <c r="P170" s="84" t="n"/>
      <c r="Q170" s="84" t="n"/>
    </row>
    <row r="171" ht="13.9" customHeight="1">
      <c r="A171" s="84" t="n"/>
      <c r="B171" s="84" t="n"/>
      <c r="C171" s="84" t="n"/>
      <c r="D171" s="84" t="n"/>
      <c r="E171" s="84" t="n"/>
      <c r="F171" s="84" t="n"/>
      <c r="G171" s="84" t="n"/>
      <c r="H171" s="84" t="n"/>
      <c r="I171" s="84" t="n"/>
      <c r="J171" s="84" t="n"/>
      <c r="K171" s="84" t="n"/>
      <c r="L171" s="84" t="n"/>
      <c r="M171" s="84" t="n"/>
      <c r="N171" s="84" t="n"/>
      <c r="O171" s="84" t="n"/>
      <c r="P171" s="84" t="n"/>
      <c r="Q171" s="84" t="n"/>
    </row>
    <row r="172" ht="13.9" customHeight="1">
      <c r="A172" s="84" t="n"/>
      <c r="B172" s="84" t="n"/>
      <c r="C172" s="84" t="n"/>
      <c r="D172" s="84" t="n"/>
      <c r="E172" s="84" t="n"/>
      <c r="F172" s="84" t="n"/>
      <c r="G172" s="84" t="n"/>
      <c r="H172" s="84" t="n"/>
      <c r="I172" s="84" t="n"/>
      <c r="J172" s="84" t="n"/>
      <c r="K172" s="84" t="n"/>
      <c r="L172" s="84" t="n"/>
      <c r="M172" s="84" t="n"/>
      <c r="N172" s="84" t="n"/>
      <c r="O172" s="84" t="n"/>
      <c r="P172" s="84" t="n"/>
      <c r="Q172" s="84" t="n"/>
    </row>
    <row r="173" ht="13.9" customHeight="1">
      <c r="A173" s="84" t="n"/>
      <c r="B173" s="84" t="n"/>
      <c r="C173" s="84" t="n"/>
      <c r="D173" s="84" t="n"/>
      <c r="E173" s="84" t="n"/>
      <c r="F173" s="84" t="n"/>
      <c r="G173" s="84" t="n"/>
      <c r="H173" s="84" t="n"/>
      <c r="I173" s="84" t="n"/>
      <c r="J173" s="84" t="n"/>
      <c r="K173" s="84" t="n"/>
      <c r="L173" s="84" t="n"/>
      <c r="M173" s="84" t="n"/>
      <c r="N173" s="84" t="n"/>
      <c r="O173" s="84" t="n"/>
      <c r="P173" s="84" t="n"/>
      <c r="Q173" s="84" t="n"/>
    </row>
    <row r="174" ht="13.9" customHeight="1">
      <c r="A174" s="84" t="n"/>
      <c r="B174" s="84" t="n"/>
      <c r="C174" s="84" t="n"/>
      <c r="D174" s="84" t="n"/>
      <c r="E174" s="84" t="n"/>
      <c r="F174" s="84" t="n"/>
      <c r="G174" s="84" t="n"/>
      <c r="H174" s="84" t="n"/>
      <c r="I174" s="84" t="n"/>
      <c r="J174" s="84" t="n"/>
      <c r="K174" s="84" t="n"/>
      <c r="L174" s="84" t="n"/>
      <c r="M174" s="84" t="n"/>
      <c r="N174" s="84" t="n"/>
      <c r="O174" s="84" t="n"/>
      <c r="P174" s="84" t="n"/>
      <c r="Q174" s="84" t="n"/>
    </row>
    <row r="175" ht="13.9" customHeight="1">
      <c r="A175" s="84" t="n"/>
      <c r="B175" s="84" t="n"/>
      <c r="C175" s="84" t="n"/>
      <c r="D175" s="84" t="n"/>
      <c r="E175" s="84" t="n"/>
      <c r="F175" s="84" t="n"/>
      <c r="G175" s="84" t="n"/>
      <c r="H175" s="84" t="n"/>
      <c r="I175" s="84" t="n"/>
      <c r="J175" s="84" t="n"/>
      <c r="K175" s="84" t="n"/>
      <c r="L175" s="84" t="n"/>
      <c r="M175" s="84" t="n"/>
      <c r="N175" s="84" t="n"/>
      <c r="O175" s="84" t="n"/>
      <c r="P175" s="84" t="n"/>
      <c r="Q175" s="84" t="n"/>
    </row>
    <row r="176" ht="13.9" customHeight="1">
      <c r="A176" s="84" t="n"/>
      <c r="B176" s="84" t="n"/>
      <c r="C176" s="84" t="n"/>
      <c r="D176" s="84" t="n"/>
      <c r="E176" s="84" t="n"/>
      <c r="F176" s="84" t="n"/>
      <c r="G176" s="84" t="n"/>
      <c r="H176" s="84" t="n"/>
      <c r="I176" s="84" t="n"/>
      <c r="J176" s="84" t="n"/>
      <c r="K176" s="84" t="n"/>
      <c r="L176" s="84" t="n"/>
      <c r="M176" s="84" t="n"/>
      <c r="N176" s="84" t="n"/>
      <c r="O176" s="84" t="n"/>
      <c r="P176" s="84" t="n"/>
      <c r="Q176" s="84" t="n"/>
    </row>
    <row r="177" ht="13.9" customHeight="1">
      <c r="A177" s="84" t="n"/>
      <c r="B177" s="84" t="n"/>
      <c r="C177" s="84" t="n"/>
      <c r="D177" s="84" t="n"/>
      <c r="E177" s="84" t="n"/>
      <c r="F177" s="84" t="n"/>
      <c r="G177" s="84" t="n"/>
      <c r="H177" s="84" t="n"/>
      <c r="I177" s="84" t="n"/>
      <c r="J177" s="84" t="n"/>
      <c r="K177" s="84" t="n"/>
      <c r="L177" s="84" t="n"/>
      <c r="M177" s="84" t="n"/>
      <c r="N177" s="84" t="n"/>
      <c r="O177" s="84" t="n"/>
      <c r="P177" s="84" t="n"/>
      <c r="Q177" s="84" t="n"/>
    </row>
    <row r="178" ht="13.9" customHeight="1">
      <c r="A178" s="84" t="n"/>
      <c r="B178" s="84" t="n"/>
      <c r="C178" s="84" t="n"/>
      <c r="D178" s="84" t="n"/>
      <c r="E178" s="84" t="n"/>
      <c r="F178" s="84" t="n"/>
      <c r="G178" s="84" t="n"/>
      <c r="H178" s="84" t="n"/>
      <c r="I178" s="84" t="n"/>
      <c r="J178" s="84" t="n"/>
      <c r="K178" s="84" t="n"/>
      <c r="L178" s="84" t="n"/>
      <c r="M178" s="84" t="n"/>
      <c r="N178" s="84" t="n"/>
      <c r="O178" s="84" t="n"/>
      <c r="P178" s="84" t="n"/>
      <c r="Q178" s="84" t="n"/>
    </row>
    <row r="179" ht="13.9" customHeight="1">
      <c r="A179" s="84" t="n"/>
      <c r="B179" s="84" t="n"/>
      <c r="C179" s="84" t="n"/>
      <c r="D179" s="84" t="n"/>
      <c r="E179" s="84" t="n"/>
      <c r="F179" s="84" t="n"/>
      <c r="G179" s="84" t="n"/>
      <c r="H179" s="84" t="n"/>
      <c r="I179" s="84" t="n"/>
      <c r="J179" s="84" t="n"/>
      <c r="K179" s="84" t="n"/>
      <c r="L179" s="84" t="n"/>
      <c r="M179" s="84" t="n"/>
      <c r="N179" s="84" t="n"/>
      <c r="O179" s="84" t="n"/>
      <c r="P179" s="84" t="n"/>
      <c r="Q179" s="84" t="n"/>
    </row>
    <row r="180" ht="13.9" customHeight="1">
      <c r="A180" s="84" t="n"/>
      <c r="B180" s="84" t="n"/>
      <c r="C180" s="84" t="n"/>
      <c r="D180" s="84" t="n"/>
      <c r="E180" s="84" t="n"/>
      <c r="F180" s="84" t="n"/>
      <c r="G180" s="84" t="n"/>
      <c r="H180" s="84" t="n"/>
      <c r="I180" s="84" t="n"/>
      <c r="J180" s="84" t="n"/>
      <c r="K180" s="84" t="n"/>
      <c r="L180" s="84" t="n"/>
      <c r="M180" s="84" t="n"/>
      <c r="N180" s="84" t="n"/>
      <c r="O180" s="84" t="n"/>
      <c r="P180" s="84" t="n"/>
      <c r="Q180" s="84" t="n"/>
    </row>
    <row r="181" ht="13.9" customHeight="1">
      <c r="A181" s="84" t="n"/>
      <c r="B181" s="84" t="n"/>
      <c r="C181" s="84" t="n"/>
      <c r="D181" s="84" t="n"/>
      <c r="E181" s="84" t="n"/>
      <c r="F181" s="84" t="n"/>
      <c r="G181" s="84" t="n"/>
      <c r="H181" s="84" t="n"/>
      <c r="I181" s="84" t="n"/>
      <c r="J181" s="84" t="n"/>
      <c r="K181" s="84" t="n"/>
      <c r="L181" s="84" t="n"/>
      <c r="M181" s="84" t="n"/>
      <c r="N181" s="84" t="n"/>
      <c r="O181" s="84" t="n"/>
      <c r="P181" s="84" t="n"/>
      <c r="Q181" s="84" t="n"/>
    </row>
    <row r="182" ht="13.9" customHeight="1">
      <c r="A182" s="84" t="n"/>
      <c r="B182" s="84" t="n"/>
      <c r="C182" s="84" t="n"/>
      <c r="D182" s="84" t="n"/>
      <c r="E182" s="84" t="n"/>
      <c r="F182" s="84" t="n"/>
      <c r="G182" s="84" t="n"/>
      <c r="H182" s="84" t="n"/>
      <c r="I182" s="84" t="n"/>
      <c r="J182" s="84" t="n"/>
      <c r="K182" s="84" t="n"/>
      <c r="L182" s="84" t="n"/>
      <c r="M182" s="84" t="n"/>
      <c r="N182" s="84" t="n"/>
      <c r="O182" s="84" t="n"/>
      <c r="P182" s="84" t="n"/>
      <c r="Q182" s="84" t="n"/>
    </row>
    <row r="183" ht="13.9" customHeight="1">
      <c r="A183" s="84" t="n"/>
      <c r="B183" s="84" t="n"/>
      <c r="C183" s="84" t="n"/>
      <c r="D183" s="84" t="n"/>
      <c r="E183" s="84" t="n"/>
      <c r="F183" s="84" t="n"/>
      <c r="G183" s="84" t="n"/>
      <c r="H183" s="84" t="n"/>
      <c r="I183" s="84" t="n"/>
      <c r="J183" s="84" t="n"/>
      <c r="K183" s="84" t="n"/>
      <c r="L183" s="84" t="n"/>
      <c r="M183" s="84" t="n"/>
      <c r="N183" s="84" t="n"/>
      <c r="O183" s="84" t="n"/>
      <c r="P183" s="84" t="n"/>
      <c r="Q183" s="84" t="n"/>
    </row>
    <row r="184" ht="13.9" customHeight="1">
      <c r="A184" s="84" t="n"/>
      <c r="B184" s="84" t="n"/>
      <c r="C184" s="84" t="n"/>
      <c r="D184" s="84" t="n"/>
      <c r="E184" s="84" t="n"/>
      <c r="F184" s="84" t="n"/>
      <c r="G184" s="84" t="n"/>
      <c r="H184" s="84" t="n"/>
      <c r="I184" s="84" t="n"/>
      <c r="J184" s="84" t="n"/>
      <c r="K184" s="84" t="n"/>
      <c r="L184" s="84" t="n"/>
      <c r="M184" s="84" t="n"/>
      <c r="N184" s="84" t="n"/>
      <c r="O184" s="84" t="n"/>
      <c r="P184" s="84" t="n"/>
      <c r="Q184" s="84" t="n"/>
    </row>
    <row r="185" ht="13.9" customHeight="1">
      <c r="A185" s="84" t="n"/>
      <c r="B185" s="84" t="n"/>
      <c r="C185" s="84" t="n"/>
      <c r="D185" s="84" t="n"/>
      <c r="E185" s="84" t="n"/>
      <c r="F185" s="84" t="n"/>
      <c r="G185" s="84" t="n"/>
      <c r="H185" s="84" t="n"/>
      <c r="I185" s="84" t="n"/>
      <c r="J185" s="84" t="n"/>
      <c r="K185" s="84" t="n"/>
      <c r="L185" s="84" t="n"/>
      <c r="M185" s="84" t="n"/>
      <c r="N185" s="84" t="n"/>
      <c r="O185" s="84" t="n"/>
      <c r="P185" s="84" t="n"/>
      <c r="Q185" s="84" t="n"/>
    </row>
    <row r="186" ht="13.9" customHeight="1">
      <c r="A186" s="84" t="n"/>
      <c r="B186" s="84" t="n"/>
      <c r="C186" s="84" t="n"/>
      <c r="D186" s="84" t="n"/>
      <c r="E186" s="84" t="n"/>
      <c r="F186" s="84" t="n"/>
      <c r="G186" s="84" t="n"/>
      <c r="H186" s="84" t="n"/>
      <c r="I186" s="84" t="n"/>
      <c r="J186" s="84" t="n"/>
      <c r="K186" s="84" t="n"/>
      <c r="L186" s="84" t="n"/>
      <c r="M186" s="84" t="n"/>
      <c r="N186" s="84" t="n"/>
      <c r="O186" s="84" t="n"/>
      <c r="P186" s="84" t="n"/>
      <c r="Q186" s="84" t="n"/>
    </row>
    <row r="187" ht="13.9" customHeight="1">
      <c r="A187" s="84" t="n"/>
      <c r="B187" s="84" t="n"/>
      <c r="C187" s="84" t="n"/>
      <c r="D187" s="84" t="n"/>
      <c r="E187" s="84" t="n"/>
      <c r="F187" s="84" t="n"/>
      <c r="G187" s="84" t="n"/>
      <c r="H187" s="84" t="n"/>
      <c r="I187" s="84" t="n"/>
      <c r="J187" s="84" t="n"/>
      <c r="K187" s="84" t="n"/>
      <c r="L187" s="84" t="n"/>
      <c r="M187" s="84" t="n"/>
      <c r="N187" s="84" t="n"/>
      <c r="O187" s="84" t="n"/>
      <c r="P187" s="84" t="n"/>
      <c r="Q187" s="84" t="n"/>
    </row>
    <row r="188" ht="13.9" customHeight="1">
      <c r="A188" s="84" t="n"/>
      <c r="B188" s="84" t="n"/>
      <c r="C188" s="84" t="n"/>
      <c r="D188" s="84" t="n"/>
      <c r="E188" s="84" t="n"/>
      <c r="F188" s="84" t="n"/>
      <c r="G188" s="84" t="n"/>
      <c r="H188" s="84" t="n"/>
      <c r="I188" s="84" t="n"/>
      <c r="J188" s="84" t="n"/>
      <c r="K188" s="84" t="n"/>
      <c r="L188" s="84" t="n"/>
      <c r="M188" s="84" t="n"/>
      <c r="N188" s="84" t="n"/>
      <c r="O188" s="84" t="n"/>
      <c r="P188" s="84" t="n"/>
      <c r="Q188" s="84" t="n"/>
    </row>
    <row r="189" ht="13.9" customHeight="1">
      <c r="A189" s="84" t="n"/>
      <c r="B189" s="84" t="n"/>
      <c r="C189" s="84" t="n"/>
      <c r="D189" s="84" t="n"/>
      <c r="E189" s="84" t="n"/>
      <c r="F189" s="84" t="n"/>
      <c r="G189" s="84" t="n"/>
      <c r="H189" s="84" t="n"/>
      <c r="I189" s="84" t="n"/>
      <c r="J189" s="84" t="n"/>
      <c r="K189" s="84" t="n"/>
      <c r="L189" s="84" t="n"/>
      <c r="M189" s="84" t="n"/>
      <c r="N189" s="84" t="n"/>
      <c r="O189" s="84" t="n"/>
      <c r="P189" s="84" t="n"/>
      <c r="Q189" s="84" t="n"/>
    </row>
    <row r="190" ht="13.9" customHeight="1">
      <c r="A190" s="84" t="n"/>
      <c r="B190" s="84" t="n"/>
      <c r="C190" s="84" t="n"/>
      <c r="D190" s="84" t="n"/>
      <c r="E190" s="84" t="n"/>
      <c r="F190" s="84" t="n"/>
      <c r="G190" s="84" t="n"/>
      <c r="H190" s="84" t="n"/>
      <c r="I190" s="84" t="n"/>
      <c r="J190" s="84" t="n"/>
      <c r="K190" s="84" t="n"/>
      <c r="L190" s="84" t="n"/>
      <c r="M190" s="84" t="n"/>
      <c r="N190" s="84" t="n"/>
      <c r="O190" s="84" t="n"/>
      <c r="P190" s="84" t="n"/>
      <c r="Q190" s="84" t="n"/>
    </row>
    <row r="191" ht="13.9" customHeight="1">
      <c r="A191" s="84" t="n"/>
      <c r="B191" s="84" t="n"/>
      <c r="C191" s="84" t="n"/>
      <c r="D191" s="84" t="n"/>
      <c r="E191" s="84" t="n"/>
      <c r="F191" s="84" t="n"/>
      <c r="G191" s="84" t="n"/>
      <c r="H191" s="84" t="n"/>
      <c r="I191" s="84" t="n"/>
      <c r="J191" s="84" t="n"/>
      <c r="K191" s="84" t="n"/>
      <c r="L191" s="84" t="n"/>
      <c r="M191" s="84" t="n"/>
      <c r="N191" s="84" t="n"/>
      <c r="O191" s="84" t="n"/>
      <c r="P191" s="84" t="n"/>
      <c r="Q191" s="84" t="n"/>
    </row>
    <row r="192" ht="13.9" customHeight="1">
      <c r="A192" s="84" t="n"/>
      <c r="B192" s="84" t="n"/>
      <c r="C192" s="84" t="n"/>
      <c r="D192" s="84" t="n"/>
      <c r="E192" s="84" t="n"/>
      <c r="F192" s="84" t="n"/>
      <c r="G192" s="84" t="n"/>
      <c r="H192" s="84" t="n"/>
      <c r="I192" s="84" t="n"/>
      <c r="J192" s="84" t="n"/>
      <c r="K192" s="84" t="n"/>
      <c r="L192" s="84" t="n"/>
      <c r="M192" s="84" t="n"/>
      <c r="N192" s="84" t="n"/>
      <c r="O192" s="84" t="n"/>
      <c r="P192" s="84" t="n"/>
      <c r="Q192" s="84" t="n"/>
    </row>
    <row r="193" ht="13.9" customHeight="1">
      <c r="A193" s="84" t="n"/>
      <c r="B193" s="84" t="n"/>
      <c r="C193" s="84" t="n"/>
      <c r="D193" s="84" t="n"/>
      <c r="E193" s="84" t="n"/>
      <c r="F193" s="84" t="n"/>
      <c r="G193" s="84" t="n"/>
      <c r="H193" s="84" t="n"/>
      <c r="I193" s="84" t="n"/>
      <c r="J193" s="84" t="n"/>
      <c r="K193" s="84" t="n"/>
      <c r="L193" s="84" t="n"/>
      <c r="M193" s="84" t="n"/>
      <c r="N193" s="84" t="n"/>
      <c r="O193" s="84" t="n"/>
      <c r="P193" s="84" t="n"/>
      <c r="Q193" s="84" t="n"/>
    </row>
    <row r="194" ht="13.9" customHeight="1">
      <c r="A194" s="84" t="n"/>
      <c r="B194" s="84" t="n"/>
      <c r="C194" s="84" t="n"/>
      <c r="D194" s="84" t="n"/>
      <c r="E194" s="84" t="n"/>
      <c r="F194" s="84" t="n"/>
      <c r="G194" s="84" t="n"/>
      <c r="H194" s="84" t="n"/>
      <c r="I194" s="84" t="n"/>
      <c r="J194" s="84" t="n"/>
      <c r="K194" s="84" t="n"/>
      <c r="L194" s="84" t="n"/>
      <c r="M194" s="84" t="n"/>
      <c r="N194" s="84" t="n"/>
      <c r="O194" s="84" t="n"/>
      <c r="P194" s="84" t="n"/>
      <c r="Q194" s="84" t="n"/>
    </row>
    <row r="195" ht="13.9" customHeight="1">
      <c r="A195" s="84" t="n"/>
      <c r="B195" s="84" t="n"/>
      <c r="C195" s="84" t="n"/>
      <c r="D195" s="84" t="n"/>
      <c r="E195" s="84" t="n"/>
      <c r="F195" s="84" t="n"/>
      <c r="G195" s="84" t="n"/>
      <c r="H195" s="84" t="n"/>
      <c r="I195" s="84" t="n"/>
      <c r="J195" s="84" t="n"/>
      <c r="K195" s="84" t="n"/>
      <c r="L195" s="84" t="n"/>
      <c r="M195" s="84" t="n"/>
      <c r="N195" s="84" t="n"/>
      <c r="O195" s="84" t="n"/>
      <c r="P195" s="84" t="n"/>
      <c r="Q195" s="84" t="n"/>
    </row>
    <row r="196" ht="13.9" customHeight="1">
      <c r="A196" s="84" t="n"/>
      <c r="B196" s="84" t="n"/>
      <c r="C196" s="84" t="n"/>
      <c r="D196" s="84" t="n"/>
      <c r="E196" s="84" t="n"/>
      <c r="F196" s="84" t="n"/>
      <c r="G196" s="84" t="n"/>
      <c r="H196" s="84" t="n"/>
      <c r="I196" s="84" t="n"/>
      <c r="J196" s="84" t="n"/>
      <c r="K196" s="84" t="n"/>
      <c r="L196" s="84" t="n"/>
      <c r="M196" s="84" t="n"/>
      <c r="N196" s="84" t="n"/>
      <c r="O196" s="84" t="n"/>
      <c r="P196" s="84" t="n"/>
      <c r="Q196" s="84" t="n"/>
    </row>
    <row r="197" ht="13.9" customHeight="1">
      <c r="A197" s="84" t="n"/>
      <c r="B197" s="84" t="n"/>
      <c r="C197" s="84" t="n"/>
      <c r="D197" s="84" t="n"/>
      <c r="E197" s="84" t="n"/>
      <c r="F197" s="84" t="n"/>
      <c r="G197" s="84" t="n"/>
      <c r="H197" s="84" t="n"/>
      <c r="I197" s="84" t="n"/>
      <c r="J197" s="84" t="n"/>
      <c r="K197" s="84" t="n"/>
      <c r="L197" s="84" t="n"/>
      <c r="M197" s="84" t="n"/>
      <c r="N197" s="84" t="n"/>
      <c r="O197" s="84" t="n"/>
      <c r="P197" s="84" t="n"/>
      <c r="Q197" s="84" t="n"/>
    </row>
    <row r="198" ht="13.9" customHeight="1">
      <c r="A198" s="84" t="n"/>
      <c r="B198" s="84" t="n"/>
      <c r="C198" s="84" t="n"/>
      <c r="D198" s="84" t="n"/>
      <c r="E198" s="84" t="n"/>
      <c r="F198" s="84" t="n"/>
      <c r="G198" s="84" t="n"/>
      <c r="H198" s="84" t="n"/>
      <c r="I198" s="84" t="n"/>
      <c r="J198" s="84" t="n"/>
      <c r="K198" s="84" t="n"/>
      <c r="L198" s="84" t="n"/>
      <c r="M198" s="84" t="n"/>
      <c r="N198" s="84" t="n"/>
      <c r="O198" s="84" t="n"/>
      <c r="P198" s="84" t="n"/>
      <c r="Q198" s="84" t="n"/>
    </row>
    <row r="199" ht="13.9" customHeight="1">
      <c r="A199" s="84" t="n"/>
      <c r="B199" s="84" t="n"/>
      <c r="C199" s="84" t="n"/>
      <c r="D199" s="84" t="n"/>
      <c r="E199" s="84" t="n"/>
      <c r="F199" s="84" t="n"/>
      <c r="G199" s="84" t="n"/>
      <c r="H199" s="84" t="n"/>
      <c r="I199" s="84" t="n"/>
      <c r="J199" s="84" t="n"/>
      <c r="K199" s="84" t="n"/>
      <c r="L199" s="84" t="n"/>
      <c r="M199" s="84" t="n"/>
      <c r="N199" s="84" t="n"/>
      <c r="O199" s="84" t="n"/>
      <c r="P199" s="84" t="n"/>
      <c r="Q199" s="84" t="n"/>
    </row>
    <row r="200" ht="13.9" customHeight="1">
      <c r="A200" s="84" t="n"/>
      <c r="B200" s="84" t="n"/>
      <c r="C200" s="84" t="n"/>
      <c r="D200" s="84" t="n"/>
      <c r="E200" s="84" t="n"/>
      <c r="F200" s="84" t="n"/>
      <c r="G200" s="84" t="n"/>
      <c r="H200" s="84" t="n"/>
      <c r="I200" s="84" t="n"/>
      <c r="J200" s="84" t="n"/>
      <c r="K200" s="84" t="n"/>
      <c r="L200" s="84" t="n"/>
      <c r="M200" s="84" t="n"/>
      <c r="N200" s="84" t="n"/>
      <c r="O200" s="84" t="n"/>
      <c r="P200" s="84" t="n"/>
      <c r="Q200" s="84" t="n"/>
    </row>
  </sheetData>
  <mergeCells count="17">
    <mergeCell ref="A14:C16"/>
    <mergeCell ref="C21:G21"/>
    <mergeCell ref="A13:C13"/>
    <mergeCell ref="C20:G20"/>
    <mergeCell ref="A1:M1"/>
    <mergeCell ref="D13:F13"/>
    <mergeCell ref="D14:F16"/>
    <mergeCell ref="C24:G24"/>
    <mergeCell ref="C25:G25"/>
    <mergeCell ref="A12:M12"/>
    <mergeCell ref="A28:G29"/>
    <mergeCell ref="C19:G19"/>
    <mergeCell ref="A3:M3"/>
    <mergeCell ref="C23:G23"/>
    <mergeCell ref="C22:G22"/>
    <mergeCell ref="C18:G18"/>
    <mergeCell ref="C26:G26"/>
  </mergeCells>
  <conditionalFormatting sqref="M6:M9">
    <cfRule type="expression" priority="1" dxfId="0">
      <formula>M6&lt;&gt;""</formula>
    </cfRule>
  </conditionalFormatting>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surface</dc:creator>
  <dcterms:created xsi:type="dcterms:W3CDTF">2026-07-12T08:21:45Z</dcterms:created>
  <dcterms:modified xsi:type="dcterms:W3CDTF">2026-07-14T19:50:31Z</dcterms:modified>
  <cp:lastModifiedBy>surface</cp:lastModifiedBy>
</cp:coreProperties>
</file>